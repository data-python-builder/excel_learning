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f74be0ec04da46/Desktop/Excel/Section 6/"/>
    </mc:Choice>
  </mc:AlternateContent>
  <xr:revisionPtr revIDLastSave="53" documentId="13_ncr:1_{FB6089BF-E866-4AC4-9228-DFC19EF1CDB0}" xr6:coauthVersionLast="47" xr6:coauthVersionMax="47" xr10:uidLastSave="{25F5B450-2BC8-4415-B862-70CE92DB9D0B}"/>
  <bookViews>
    <workbookView xWindow="-110" yWindow="-110" windowWidth="19420" windowHeight="10300" activeTab="2" xr2:uid="{00000000-000D-0000-FFFF-FFFF00000000}"/>
  </bookViews>
  <sheets>
    <sheet name="WI1" sheetId="2" r:id="rId1"/>
    <sheet name="WI 2" sheetId="1" r:id="rId2"/>
    <sheet name="WI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7" i="3" l="1"/>
  <c r="I41" i="3"/>
  <c r="I40" i="3"/>
  <c r="I39" i="3"/>
  <c r="I38" i="3"/>
  <c r="I37" i="3"/>
  <c r="I30" i="3"/>
  <c r="I31" i="3"/>
  <c r="I32" i="3"/>
  <c r="I33" i="3"/>
  <c r="I29" i="3"/>
  <c r="J15" i="3"/>
  <c r="K15" i="3"/>
  <c r="J9" i="3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E10" i="1"/>
  <c r="L7" i="2" l="1"/>
  <c r="H7" i="2"/>
  <c r="D9" i="2" l="1"/>
  <c r="S9" i="1"/>
  <c r="S10" i="1"/>
  <c r="S11" i="1"/>
  <c r="S12" i="1"/>
  <c r="S13" i="1"/>
  <c r="S14" i="1"/>
  <c r="S15" i="1"/>
  <c r="S16" i="1"/>
  <c r="S8" i="1"/>
  <c r="J33" i="3"/>
  <c r="L15" i="3"/>
  <c r="K9" i="3"/>
  <c r="L9" i="3" s="1"/>
  <c r="K30" i="3"/>
  <c r="M30" i="3" s="1"/>
  <c r="J41" i="3"/>
  <c r="L41" i="3" s="1"/>
  <c r="J38" i="3"/>
  <c r="L38" i="3" s="1"/>
  <c r="K40" i="3"/>
  <c r="K41" i="3"/>
  <c r="K39" i="3"/>
  <c r="K38" i="3"/>
  <c r="K48" i="3"/>
  <c r="L48" i="3" s="1"/>
  <c r="J48" i="3"/>
  <c r="J31" i="3"/>
  <c r="J32" i="3"/>
  <c r="J39" i="3"/>
  <c r="L39" i="3" s="1"/>
  <c r="J40" i="3"/>
  <c r="L40" i="3" s="1"/>
  <c r="J28" i="3"/>
  <c r="K33" i="3" l="1"/>
  <c r="M33" i="3" s="1"/>
  <c r="K31" i="3"/>
  <c r="M31" i="3" s="1"/>
  <c r="K28" i="3"/>
  <c r="M28" i="3" s="1"/>
  <c r="J30" i="3"/>
  <c r="K32" i="3"/>
  <c r="M32" i="3" s="1"/>
  <c r="J29" i="3"/>
  <c r="K29" i="3"/>
  <c r="M29" i="3" s="1"/>
  <c r="J37" i="3"/>
  <c r="L37" i="3" s="1"/>
</calcChain>
</file>

<file path=xl/sharedStrings.xml><?xml version="1.0" encoding="utf-8"?>
<sst xmlns="http://schemas.openxmlformats.org/spreadsheetml/2006/main" count="79" uniqueCount="45">
  <si>
    <t xml:space="preserve">Data table for a loan </t>
  </si>
  <si>
    <t>Amount</t>
  </si>
  <si>
    <t>Rate</t>
  </si>
  <si>
    <t>Period</t>
  </si>
  <si>
    <t xml:space="preserve">Payment adjustment for interest increase with the PMT Funtion </t>
  </si>
  <si>
    <t>3.8%-  7.61%</t>
  </si>
  <si>
    <t xml:space="preserve"> </t>
  </si>
  <si>
    <t>Months</t>
  </si>
  <si>
    <t>Rates</t>
  </si>
  <si>
    <t>PMT</t>
  </si>
  <si>
    <t>Starting rate</t>
  </si>
  <si>
    <t>January</t>
  </si>
  <si>
    <t>February</t>
  </si>
  <si>
    <t>March</t>
  </si>
  <si>
    <t>April</t>
  </si>
  <si>
    <t>May</t>
  </si>
  <si>
    <t>What If analysis. Goal Seek</t>
  </si>
  <si>
    <t>Exam 1</t>
  </si>
  <si>
    <t>Exam 2</t>
  </si>
  <si>
    <t>Exam 3</t>
  </si>
  <si>
    <t>Exam 4</t>
  </si>
  <si>
    <t>Exam 5</t>
  </si>
  <si>
    <t>June?</t>
  </si>
  <si>
    <t>Exam 6?</t>
  </si>
  <si>
    <t>Amount average. P/M</t>
  </si>
  <si>
    <t xml:space="preserve">Amount total </t>
  </si>
  <si>
    <t>Will achieve $6000?</t>
  </si>
  <si>
    <t>SW</t>
  </si>
  <si>
    <t>SE</t>
  </si>
  <si>
    <t>N</t>
  </si>
  <si>
    <t>W</t>
  </si>
  <si>
    <t>NW</t>
  </si>
  <si>
    <t>NE</t>
  </si>
  <si>
    <t>Revenue Target</t>
  </si>
  <si>
    <t xml:space="preserve">  $6000 projected?</t>
  </si>
  <si>
    <t>Achieve 90?</t>
  </si>
  <si>
    <t>Result total</t>
  </si>
  <si>
    <t>Simon</t>
  </si>
  <si>
    <t>Esther</t>
  </si>
  <si>
    <t>Matt</t>
  </si>
  <si>
    <t>Jenny</t>
  </si>
  <si>
    <t>Mila</t>
  </si>
  <si>
    <t>Average result (AVG)</t>
  </si>
  <si>
    <t>Period (Months)</t>
  </si>
  <si>
    <t>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</si>
</sst>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£&quot;#,##0.00;[Red]\-&quot;£&quot;#,##0.00"/>
    <numFmt numFmtId="165" formatCode="&quot;£&quot;#,##0.00"/>
    <numFmt numFmtId="166" formatCode="&quot;$&quot;#,##0.00"/>
    <numFmt numFmtId="167" formatCode="[$£-809]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4" fillId="0" borderId="1" applyNumberFormat="0" applyFill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center"/>
    </xf>
    <xf numFmtId="10" fontId="1" fillId="3" borderId="2" xfId="0" applyNumberFormat="1" applyFont="1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0" fontId="0" fillId="3" borderId="2" xfId="0" applyNumberForma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67" fontId="0" fillId="0" borderId="0" xfId="0" applyNumberForma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2" borderId="1" xfId="1" applyFont="1" applyBorder="1" applyAlignment="1">
      <alignment horizontal="center"/>
    </xf>
    <xf numFmtId="0" fontId="6" fillId="2" borderId="1" xfId="2" applyFont="1" applyFill="1" applyAlignment="1">
      <alignment horizontal="center"/>
    </xf>
  </cellXfs>
  <cellStyles count="3">
    <cellStyle name="Accent2" xfId="1" builtinId="33"/>
    <cellStyle name="Heading 1" xfId="2" builtinId="16"/>
    <cellStyle name="Normal" xfId="0" builtinId="0"/>
  </cellStyles>
  <dxfs count="24"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b val="0"/>
        <i/>
        <color theme="1" tint="4.9989318521683403E-2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/>
        <color theme="1" tint="4.9989318521683403E-2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/>
        <color theme="1" tint="4.9989318521683403E-2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15741</xdr:colOff>
      <xdr:row>17</xdr:row>
      <xdr:rowOff>92850</xdr:rowOff>
    </xdr:from>
    <xdr:to>
      <xdr:col>19</xdr:col>
      <xdr:colOff>154213</xdr:colOff>
      <xdr:row>22</xdr:row>
      <xdr:rowOff>33883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EA74BF-D702-4732-B59A-77434B7E02E7}"/>
            </a:ext>
          </a:extLst>
        </xdr:cNvPr>
        <xdr:cNvSpPr txBox="1"/>
      </xdr:nvSpPr>
      <xdr:spPr>
        <a:xfrm>
          <a:off x="12448134" y="3453814"/>
          <a:ext cx="5091472" cy="870855"/>
        </a:xfrm>
        <a:prstGeom prst="rect">
          <a:avLst/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u="sng"/>
            <a:t>What IF</a:t>
          </a:r>
          <a:r>
            <a:rPr lang="en-US" sz="1100" b="1" u="sng" baseline="0"/>
            <a:t> analysis. Goal seek</a:t>
          </a:r>
        </a:p>
        <a:p>
          <a:pPr algn="ctr"/>
          <a:endParaRPr lang="en-US" sz="1100" b="1" u="sng" baseline="0"/>
        </a:p>
        <a:p>
          <a:pPr algn="ctr"/>
          <a:r>
            <a:rPr lang="en-US" sz="1100" b="0" u="none" baseline="0"/>
            <a:t>Determine missing information using data </a:t>
          </a:r>
        </a:p>
        <a:p>
          <a:pPr algn="ctr"/>
          <a:r>
            <a:rPr lang="en-US" sz="1100" b="0" u="none" baseline="0"/>
            <a:t>you already have</a:t>
          </a:r>
          <a:endParaRPr lang="en-US" sz="1100" b="0" u="none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71207-4B76-4FF4-A4B5-55F7F89BA416}">
  <dimension ref="C3:P25"/>
  <sheetViews>
    <sheetView topLeftCell="A7" zoomScale="130" zoomScaleNormal="130" workbookViewId="0">
      <selection activeCell="L7" sqref="L7"/>
    </sheetView>
  </sheetViews>
  <sheetFormatPr defaultRowHeight="14.5" x14ac:dyDescent="0.35"/>
  <cols>
    <col min="3" max="3" width="14.81640625" bestFit="1" customWidth="1"/>
    <col min="4" max="4" width="11.90625" customWidth="1"/>
    <col min="8" max="8" width="9.26953125" bestFit="1" customWidth="1"/>
    <col min="12" max="12" width="9.81640625" customWidth="1"/>
  </cols>
  <sheetData>
    <row r="3" spans="3:16" ht="24" thickBot="1" x14ac:dyDescent="0.6">
      <c r="C3" s="19" t="s">
        <v>4</v>
      </c>
      <c r="D3" s="19"/>
      <c r="E3" s="19"/>
      <c r="F3" s="19"/>
      <c r="G3" s="19"/>
      <c r="H3" s="19"/>
      <c r="I3" s="19"/>
      <c r="J3" s="19"/>
      <c r="K3" s="19"/>
      <c r="L3" s="19"/>
    </row>
    <row r="4" spans="3:16" ht="15" thickTop="1" x14ac:dyDescent="0.35">
      <c r="C4" s="5"/>
      <c r="L4" s="3"/>
    </row>
    <row r="5" spans="3:16" x14ac:dyDescent="0.35">
      <c r="C5" s="5"/>
    </row>
    <row r="6" spans="3:16" x14ac:dyDescent="0.35">
      <c r="C6" s="7" t="s">
        <v>1</v>
      </c>
      <c r="D6" s="8">
        <v>25000</v>
      </c>
      <c r="F6" s="11" t="s">
        <v>7</v>
      </c>
      <c r="G6" s="11" t="s">
        <v>8</v>
      </c>
      <c r="H6" s="11" t="s">
        <v>9</v>
      </c>
      <c r="I6" s="1"/>
      <c r="J6" s="11" t="s">
        <v>7</v>
      </c>
      <c r="K6" s="11" t="s">
        <v>8</v>
      </c>
      <c r="L6" s="11" t="s">
        <v>9</v>
      </c>
    </row>
    <row r="7" spans="3:16" x14ac:dyDescent="0.35">
      <c r="C7" s="7" t="s">
        <v>43</v>
      </c>
      <c r="D7" s="9">
        <v>18</v>
      </c>
      <c r="F7" s="1">
        <v>1</v>
      </c>
      <c r="G7" s="6">
        <v>3.7999999999999999E-2</v>
      </c>
      <c r="H7" s="17">
        <f>PMT($D$9/12,D7,-D6,0)</f>
        <v>1431.0455647644535</v>
      </c>
      <c r="J7" s="1">
        <v>1</v>
      </c>
      <c r="K7" s="6">
        <v>3.7999999999999999E-2</v>
      </c>
      <c r="L7" s="17">
        <f>PMT(K7/12,$D$7,-$D$6,0)</f>
        <v>1431.0455647644535</v>
      </c>
      <c r="N7" s="1"/>
      <c r="O7" s="6"/>
      <c r="P7" s="17"/>
    </row>
    <row r="8" spans="3:16" x14ac:dyDescent="0.35">
      <c r="C8" s="7" t="s">
        <v>2</v>
      </c>
      <c r="D8" s="10" t="s">
        <v>5</v>
      </c>
      <c r="F8" s="1">
        <v>2</v>
      </c>
      <c r="G8" s="6">
        <v>4.2000000000000003E-2</v>
      </c>
      <c r="H8" s="17">
        <f t="dataTable" ref="H8:H24" dt2D="0" dtr="0" r1="D9"/>
        <v>1435.5265718347732</v>
      </c>
      <c r="J8" s="1">
        <v>2</v>
      </c>
      <c r="K8" s="6">
        <v>4.2000000000000003E-2</v>
      </c>
      <c r="L8" s="17">
        <f t="shared" ref="L8:L24" si="0">PMT(K8/12,$D$7,-D7,0)</f>
        <v>1.0335791317210365</v>
      </c>
      <c r="N8" s="1"/>
      <c r="O8" s="6"/>
      <c r="P8" s="17"/>
    </row>
    <row r="9" spans="3:16" x14ac:dyDescent="0.35">
      <c r="C9" s="7" t="s">
        <v>10</v>
      </c>
      <c r="D9" s="10">
        <f>G7</f>
        <v>3.7999999999999999E-2</v>
      </c>
      <c r="F9" s="1">
        <v>3</v>
      </c>
      <c r="G9" s="6">
        <v>4.4999999999999998E-2</v>
      </c>
      <c r="H9" s="17">
        <v>1438.892748624789</v>
      </c>
      <c r="J9" s="1">
        <v>3</v>
      </c>
      <c r="K9" s="6">
        <v>4.4999999999999998E-2</v>
      </c>
      <c r="L9" s="17" t="e">
        <f t="shared" si="0"/>
        <v>#VALUE!</v>
      </c>
      <c r="N9" s="1"/>
      <c r="O9" s="6"/>
      <c r="P9" s="17"/>
    </row>
    <row r="10" spans="3:16" x14ac:dyDescent="0.35">
      <c r="C10" s="5"/>
      <c r="F10" s="1">
        <v>4</v>
      </c>
      <c r="G10" s="6">
        <v>4.5600000000000002E-2</v>
      </c>
      <c r="H10" s="17">
        <v>1439.5665414186055</v>
      </c>
      <c r="J10" s="1">
        <v>4</v>
      </c>
      <c r="K10" s="6">
        <v>4.5600000000000002E-2</v>
      </c>
      <c r="L10" s="17">
        <f t="shared" si="0"/>
        <v>2.1881411429562807E-3</v>
      </c>
      <c r="N10" s="1"/>
      <c r="O10" s="6"/>
      <c r="P10" s="17"/>
    </row>
    <row r="11" spans="3:16" x14ac:dyDescent="0.35">
      <c r="F11" s="1">
        <v>5</v>
      </c>
      <c r="G11" s="6">
        <v>4.7500000000000001E-2</v>
      </c>
      <c r="H11" s="17">
        <v>1441.7014441165977</v>
      </c>
      <c r="J11" s="1">
        <v>5</v>
      </c>
      <c r="K11" s="6">
        <v>4.7500000000000001E-2</v>
      </c>
      <c r="L11" s="17">
        <f t="shared" si="0"/>
        <v>0</v>
      </c>
      <c r="N11" s="1"/>
      <c r="O11" s="6"/>
      <c r="P11" s="17"/>
    </row>
    <row r="12" spans="3:16" x14ac:dyDescent="0.35">
      <c r="F12" s="1">
        <v>6</v>
      </c>
      <c r="G12" s="6">
        <v>4.9099999999999998E-2</v>
      </c>
      <c r="H12" s="17">
        <v>1443.5007014484838</v>
      </c>
      <c r="J12" s="1">
        <v>6</v>
      </c>
      <c r="K12" s="6">
        <v>4.9099999999999998E-2</v>
      </c>
      <c r="L12" s="17">
        <f t="shared" si="0"/>
        <v>0</v>
      </c>
      <c r="N12" s="1"/>
      <c r="O12" s="6"/>
      <c r="P12" s="17"/>
    </row>
    <row r="13" spans="3:16" x14ac:dyDescent="0.35">
      <c r="F13" s="1">
        <v>7</v>
      </c>
      <c r="G13" s="6">
        <v>5.0099999999999999E-2</v>
      </c>
      <c r="H13" s="17">
        <v>1444.6259078103658</v>
      </c>
      <c r="J13" s="1">
        <v>7</v>
      </c>
      <c r="K13" s="6">
        <v>5.0099999999999999E-2</v>
      </c>
      <c r="L13" s="17">
        <f t="shared" si="0"/>
        <v>0</v>
      </c>
      <c r="N13" s="1"/>
      <c r="O13" s="6"/>
      <c r="P13" s="17"/>
    </row>
    <row r="14" spans="3:16" x14ac:dyDescent="0.35">
      <c r="C14" s="5"/>
      <c r="D14" t="s">
        <v>6</v>
      </c>
      <c r="F14" s="1">
        <v>8</v>
      </c>
      <c r="G14" s="6">
        <v>5.2499999999999998E-2</v>
      </c>
      <c r="H14" s="17">
        <v>1447.3285069951944</v>
      </c>
      <c r="J14" s="1">
        <v>8</v>
      </c>
      <c r="K14" s="6">
        <v>5.2499999999999998E-2</v>
      </c>
      <c r="L14" s="17">
        <f t="shared" si="0"/>
        <v>0</v>
      </c>
      <c r="N14" s="1"/>
      <c r="O14" s="6"/>
      <c r="P14" s="17"/>
    </row>
    <row r="15" spans="3:16" x14ac:dyDescent="0.35">
      <c r="C15" s="5"/>
      <c r="F15" s="1">
        <v>9</v>
      </c>
      <c r="G15" s="6">
        <v>5.45E-2</v>
      </c>
      <c r="H15" s="17">
        <v>1449.5829413096196</v>
      </c>
      <c r="J15" s="1">
        <v>9</v>
      </c>
      <c r="K15" s="6">
        <v>5.45E-2</v>
      </c>
      <c r="L15" s="17" t="e">
        <f t="shared" si="0"/>
        <v>#VALUE!</v>
      </c>
      <c r="N15" s="1"/>
      <c r="O15" s="6"/>
      <c r="P15" s="17"/>
    </row>
    <row r="16" spans="3:16" x14ac:dyDescent="0.35">
      <c r="C16" s="5"/>
      <c r="F16" s="1">
        <v>10</v>
      </c>
      <c r="G16" s="6">
        <v>5.67E-2</v>
      </c>
      <c r="H16" s="17">
        <v>1452.0652000218774</v>
      </c>
      <c r="J16" s="1">
        <v>10</v>
      </c>
      <c r="K16" s="6">
        <v>5.67E-2</v>
      </c>
      <c r="L16" s="17">
        <f t="shared" si="0"/>
        <v>0</v>
      </c>
      <c r="N16" s="1"/>
      <c r="O16" s="6"/>
      <c r="P16" s="17"/>
    </row>
    <row r="17" spans="3:16" x14ac:dyDescent="0.35">
      <c r="C17" s="5"/>
      <c r="F17" s="1">
        <v>11</v>
      </c>
      <c r="G17" s="6">
        <v>5.8900000000000001E-2</v>
      </c>
      <c r="H17" s="17">
        <v>1454.549952285701</v>
      </c>
      <c r="J17" s="1">
        <v>11</v>
      </c>
      <c r="K17" s="6">
        <v>5.8900000000000001E-2</v>
      </c>
      <c r="L17" s="17">
        <f t="shared" si="0"/>
        <v>0</v>
      </c>
      <c r="N17" s="1"/>
      <c r="O17" s="6"/>
      <c r="P17" s="17"/>
    </row>
    <row r="18" spans="3:16" x14ac:dyDescent="0.35">
      <c r="C18" s="5"/>
      <c r="F18" s="1">
        <v>12</v>
      </c>
      <c r="G18" s="6">
        <v>6.3399999999999998E-2</v>
      </c>
      <c r="H18" s="17">
        <v>1459.6401632212785</v>
      </c>
      <c r="J18" s="1">
        <v>12</v>
      </c>
      <c r="K18" s="6">
        <v>6.3399999999999998E-2</v>
      </c>
      <c r="L18" s="17">
        <f t="shared" si="0"/>
        <v>0</v>
      </c>
      <c r="N18" s="1"/>
      <c r="O18" s="6"/>
      <c r="P18" s="17"/>
    </row>
    <row r="19" spans="3:16" x14ac:dyDescent="0.35">
      <c r="C19" s="5"/>
      <c r="F19" s="1">
        <v>13</v>
      </c>
      <c r="G19" s="6">
        <v>6.6699999999999995E-2</v>
      </c>
      <c r="H19" s="17">
        <v>1463.3796088436709</v>
      </c>
      <c r="J19" s="1">
        <v>13</v>
      </c>
      <c r="K19" s="6">
        <v>6.6699999999999995E-2</v>
      </c>
      <c r="L19" s="17">
        <f t="shared" si="0"/>
        <v>0</v>
      </c>
      <c r="N19" s="1"/>
      <c r="O19" s="6"/>
      <c r="P19" s="17"/>
    </row>
    <row r="20" spans="3:16" x14ac:dyDescent="0.35">
      <c r="C20" s="5"/>
      <c r="F20" s="1">
        <v>14</v>
      </c>
      <c r="G20" s="6">
        <v>6.7900000000000002E-2</v>
      </c>
      <c r="H20" s="17">
        <v>1464.7407963210658</v>
      </c>
      <c r="J20" s="1">
        <v>14</v>
      </c>
      <c r="K20" s="6">
        <v>6.7900000000000002E-2</v>
      </c>
      <c r="L20" s="17">
        <f t="shared" si="0"/>
        <v>0</v>
      </c>
      <c r="N20" s="1"/>
      <c r="O20" s="6"/>
      <c r="P20" s="17"/>
    </row>
    <row r="21" spans="3:16" x14ac:dyDescent="0.35">
      <c r="C21" s="5"/>
      <c r="F21" s="1">
        <v>15</v>
      </c>
      <c r="G21" s="6">
        <v>6.93E-2</v>
      </c>
      <c r="H21" s="17">
        <v>1466.3297844298627</v>
      </c>
      <c r="J21" s="1">
        <v>15</v>
      </c>
      <c r="K21" s="6">
        <v>6.93E-2</v>
      </c>
      <c r="L21" s="17">
        <f t="shared" si="0"/>
        <v>0</v>
      </c>
      <c r="N21" s="1"/>
      <c r="O21" s="6"/>
      <c r="P21" s="17"/>
    </row>
    <row r="22" spans="3:16" x14ac:dyDescent="0.35">
      <c r="C22" s="5"/>
      <c r="F22" s="1">
        <v>16</v>
      </c>
      <c r="G22" s="6">
        <v>7.0300000000000001E-2</v>
      </c>
      <c r="H22" s="17">
        <v>1467.4653929985113</v>
      </c>
      <c r="J22" s="1">
        <v>16</v>
      </c>
      <c r="K22" s="6">
        <v>7.0300000000000001E-2</v>
      </c>
      <c r="L22" s="17">
        <f t="shared" si="0"/>
        <v>0</v>
      </c>
      <c r="N22" s="1"/>
      <c r="O22" s="6"/>
      <c r="P22" s="17"/>
    </row>
    <row r="23" spans="3:16" x14ac:dyDescent="0.35">
      <c r="C23" s="5"/>
      <c r="F23" s="1">
        <v>17</v>
      </c>
      <c r="G23" s="6">
        <v>7.2499999999999995E-2</v>
      </c>
      <c r="H23" s="17">
        <v>1469.9655414677027</v>
      </c>
      <c r="J23" s="1">
        <v>17</v>
      </c>
      <c r="K23" s="6">
        <v>7.2499999999999995E-2</v>
      </c>
      <c r="L23" s="17">
        <f t="shared" si="0"/>
        <v>0</v>
      </c>
      <c r="N23" s="1"/>
      <c r="O23" s="6"/>
      <c r="P23" s="17"/>
    </row>
    <row r="24" spans="3:16" x14ac:dyDescent="0.35">
      <c r="C24" s="5"/>
      <c r="F24" s="1">
        <v>18</v>
      </c>
      <c r="G24" s="6">
        <v>7.6100000000000001E-2</v>
      </c>
      <c r="H24" s="17">
        <v>1474.0620587694225</v>
      </c>
      <c r="J24" s="1">
        <v>18</v>
      </c>
      <c r="K24" s="6">
        <v>7.6100000000000001E-2</v>
      </c>
      <c r="L24" s="17">
        <f t="shared" si="0"/>
        <v>0</v>
      </c>
      <c r="N24" s="1"/>
      <c r="O24" s="6"/>
      <c r="P24" s="17"/>
    </row>
    <row r="25" spans="3:16" x14ac:dyDescent="0.35">
      <c r="L25" s="4"/>
    </row>
  </sheetData>
  <mergeCells count="1">
    <mergeCell ref="C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S34"/>
  <sheetViews>
    <sheetView topLeftCell="A6" zoomScale="115" zoomScaleNormal="115" workbookViewId="0">
      <selection activeCell="P18" sqref="P18"/>
    </sheetView>
  </sheetViews>
  <sheetFormatPr defaultRowHeight="14.5" x14ac:dyDescent="0.35"/>
  <cols>
    <col min="4" max="4" width="15.7265625" customWidth="1"/>
    <col min="5" max="5" width="10.08984375" bestFit="1" customWidth="1"/>
    <col min="6" max="14" width="9" bestFit="1" customWidth="1"/>
    <col min="16" max="16" width="8.7265625" style="1"/>
    <col min="17" max="17" width="11.08984375" bestFit="1" customWidth="1"/>
    <col min="19" max="19" width="10.90625" customWidth="1"/>
  </cols>
  <sheetData>
    <row r="4" spans="2:19" ht="26.25" customHeight="1" thickBot="1" x14ac:dyDescent="0.65">
      <c r="D4" s="20" t="s">
        <v>0</v>
      </c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2:19" ht="15" thickTop="1" x14ac:dyDescent="0.35"/>
    <row r="6" spans="2:19" x14ac:dyDescent="0.35">
      <c r="C6" s="1"/>
      <c r="D6" s="1"/>
      <c r="Q6" s="1"/>
    </row>
    <row r="7" spans="2:19" x14ac:dyDescent="0.35">
      <c r="C7" s="1"/>
      <c r="D7" s="18" t="s">
        <v>1</v>
      </c>
      <c r="E7" s="8">
        <v>9000</v>
      </c>
      <c r="Q7" s="7" t="s">
        <v>3</v>
      </c>
      <c r="R7" s="7" t="s">
        <v>2</v>
      </c>
      <c r="S7" s="7" t="s">
        <v>44</v>
      </c>
    </row>
    <row r="8" spans="2:19" x14ac:dyDescent="0.35">
      <c r="D8" s="18" t="s">
        <v>2</v>
      </c>
      <c r="E8" s="10">
        <v>3.3000000000000002E-2</v>
      </c>
      <c r="Q8" s="9">
        <v>1</v>
      </c>
      <c r="R8" s="7">
        <v>3.3000000000000002E-2</v>
      </c>
      <c r="S8" s="11">
        <f>PMT(R8/12,$E$9,-$E$7,0)</f>
        <v>1013.8003469516531</v>
      </c>
    </row>
    <row r="9" spans="2:19" x14ac:dyDescent="0.35">
      <c r="D9" s="18" t="s">
        <v>43</v>
      </c>
      <c r="E9" s="9">
        <v>9</v>
      </c>
      <c r="Q9" s="9">
        <v>2</v>
      </c>
      <c r="R9" s="7">
        <v>3.5999999999999997E-2</v>
      </c>
      <c r="S9" s="11">
        <f t="shared" ref="S9:S16" si="0">PMT(R9/12,$E$9,-$E$7,0)</f>
        <v>1015.0599094449182</v>
      </c>
    </row>
    <row r="10" spans="2:19" x14ac:dyDescent="0.35">
      <c r="D10" s="1"/>
      <c r="E10" s="8">
        <f>PMT($E$8/12,$E$9,-$E$7)</f>
        <v>1013.8003469516531</v>
      </c>
      <c r="F10" s="7">
        <v>3.3000000000000002E-2</v>
      </c>
      <c r="G10" s="7">
        <v>3.5999999999999997E-2</v>
      </c>
      <c r="H10" s="7">
        <v>3.6999999999999998E-2</v>
      </c>
      <c r="I10" s="7">
        <v>4.4999999999999998E-2</v>
      </c>
      <c r="J10" s="7">
        <v>4.8500000000000001E-2</v>
      </c>
      <c r="K10" s="7">
        <v>5.1200000000000002E-2</v>
      </c>
      <c r="L10" s="7">
        <v>5.2999999999999999E-2</v>
      </c>
      <c r="M10" s="7">
        <v>5.45E-2</v>
      </c>
      <c r="N10" s="7">
        <v>5.6500000000000002E-2</v>
      </c>
      <c r="Q10" s="9">
        <v>3</v>
      </c>
      <c r="R10" s="7">
        <v>3.6999999999999998E-2</v>
      </c>
      <c r="S10" s="11">
        <f t="shared" si="0"/>
        <v>1015.4799479667493</v>
      </c>
    </row>
    <row r="11" spans="2:19" x14ac:dyDescent="0.35">
      <c r="D11" s="1"/>
      <c r="E11" s="11">
        <v>9000</v>
      </c>
      <c r="F11" s="17">
        <f t="dataTable" ref="F11:N19" dt2D="1" dtr="1" r1="E8" r2="E7"/>
        <v>1013.8003469516531</v>
      </c>
      <c r="G11" s="17">
        <v>1015.0599094449182</v>
      </c>
      <c r="H11" s="17">
        <v>1015.4799479667493</v>
      </c>
      <c r="I11" s="17">
        <v>1018.8435728653525</v>
      </c>
      <c r="J11" s="17">
        <v>1020.3170119013714</v>
      </c>
      <c r="K11" s="17">
        <v>1021.4544351226367</v>
      </c>
      <c r="L11" s="17">
        <v>1022.2130898428812</v>
      </c>
      <c r="M11" s="17">
        <v>1022.8455297337919</v>
      </c>
      <c r="N11" s="17">
        <v>1023.6891047400877</v>
      </c>
      <c r="Q11" s="9">
        <v>4</v>
      </c>
      <c r="R11" s="7">
        <v>4.4999999999999998E-2</v>
      </c>
      <c r="S11" s="11">
        <f t="shared" si="0"/>
        <v>1018.8435728653525</v>
      </c>
    </row>
    <row r="12" spans="2:19" x14ac:dyDescent="0.35">
      <c r="B12" s="2"/>
      <c r="C12" s="1"/>
      <c r="D12" s="1"/>
      <c r="E12" s="11">
        <v>11000</v>
      </c>
      <c r="F12" s="17">
        <v>1239.0893129409094</v>
      </c>
      <c r="G12" s="17">
        <v>1240.6287782104555</v>
      </c>
      <c r="H12" s="17">
        <v>1241.1421586260269</v>
      </c>
      <c r="I12" s="17">
        <v>1245.2532557243196</v>
      </c>
      <c r="J12" s="17">
        <v>1247.0541256572319</v>
      </c>
      <c r="K12" s="17">
        <v>1248.4443095943336</v>
      </c>
      <c r="L12" s="17">
        <v>1249.3715542524103</v>
      </c>
      <c r="M12" s="17">
        <v>1250.1445363413013</v>
      </c>
      <c r="N12" s="17">
        <v>1251.1755724601073</v>
      </c>
      <c r="Q12" s="9">
        <v>5</v>
      </c>
      <c r="R12" s="7">
        <v>4.8500000000000001E-2</v>
      </c>
      <c r="S12" s="11">
        <f t="shared" si="0"/>
        <v>1020.3170119013714</v>
      </c>
    </row>
    <row r="13" spans="2:19" x14ac:dyDescent="0.35">
      <c r="B13" s="2"/>
      <c r="C13" s="1"/>
      <c r="D13" s="1"/>
      <c r="E13" s="11">
        <v>12500</v>
      </c>
      <c r="F13" s="17">
        <v>1408.0560374328516</v>
      </c>
      <c r="G13" s="17">
        <v>1409.8054297846084</v>
      </c>
      <c r="H13" s="17">
        <v>1410.3888166204852</v>
      </c>
      <c r="I13" s="17">
        <v>1415.060517868545</v>
      </c>
      <c r="J13" s="17">
        <v>1417.1069609741271</v>
      </c>
      <c r="K13" s="17">
        <v>1418.6867154481067</v>
      </c>
      <c r="L13" s="17">
        <v>1419.7404025595574</v>
      </c>
      <c r="M13" s="17">
        <v>1420.6187912969331</v>
      </c>
      <c r="N13" s="17">
        <v>1421.7904232501216</v>
      </c>
      <c r="Q13" s="9">
        <v>6</v>
      </c>
      <c r="R13" s="7">
        <v>5.1200000000000002E-2</v>
      </c>
      <c r="S13" s="11">
        <f t="shared" si="0"/>
        <v>1021.4544351226367</v>
      </c>
    </row>
    <row r="14" spans="2:19" x14ac:dyDescent="0.35">
      <c r="C14" s="1"/>
      <c r="D14" s="1"/>
      <c r="E14" s="11">
        <v>13000</v>
      </c>
      <c r="F14" s="17">
        <v>1464.3782789301656</v>
      </c>
      <c r="G14" s="17">
        <v>1466.1976469759927</v>
      </c>
      <c r="H14" s="17">
        <v>1466.8043692853043</v>
      </c>
      <c r="I14" s="17">
        <v>1471.6629385832869</v>
      </c>
      <c r="J14" s="17">
        <v>1473.7912394130922</v>
      </c>
      <c r="K14" s="17">
        <v>1475.4341840660309</v>
      </c>
      <c r="L14" s="17">
        <v>1476.5300186619395</v>
      </c>
      <c r="M14" s="17">
        <v>1477.4435429488105</v>
      </c>
      <c r="N14" s="17">
        <v>1478.6620401801267</v>
      </c>
      <c r="Q14" s="9">
        <v>7</v>
      </c>
      <c r="R14" s="7">
        <v>5.2999999999999999E-2</v>
      </c>
      <c r="S14" s="11">
        <f t="shared" si="0"/>
        <v>1022.2130898428812</v>
      </c>
    </row>
    <row r="15" spans="2:19" x14ac:dyDescent="0.35">
      <c r="C15" s="1"/>
      <c r="D15" s="1"/>
      <c r="E15" s="11">
        <v>13500</v>
      </c>
      <c r="F15" s="17">
        <v>1520.7005204274797</v>
      </c>
      <c r="G15" s="17">
        <v>1522.5898641673773</v>
      </c>
      <c r="H15" s="17">
        <v>1523.219921950124</v>
      </c>
      <c r="I15" s="17">
        <v>1528.2653592980287</v>
      </c>
      <c r="J15" s="17">
        <v>1530.475517852057</v>
      </c>
      <c r="K15" s="17">
        <v>1532.181652683955</v>
      </c>
      <c r="L15" s="17">
        <v>1533.3196347643218</v>
      </c>
      <c r="M15" s="17">
        <v>1534.2682946006878</v>
      </c>
      <c r="N15" s="17">
        <v>1535.5336571101316</v>
      </c>
      <c r="Q15" s="9">
        <v>8</v>
      </c>
      <c r="R15" s="7">
        <v>5.45E-2</v>
      </c>
      <c r="S15" s="11">
        <f t="shared" si="0"/>
        <v>1022.8455297337919</v>
      </c>
    </row>
    <row r="16" spans="2:19" x14ac:dyDescent="0.35">
      <c r="C16" s="1"/>
      <c r="D16" s="1"/>
      <c r="E16" s="11">
        <v>15000</v>
      </c>
      <c r="F16" s="17">
        <v>1689.6672449194218</v>
      </c>
      <c r="G16" s="17">
        <v>1691.7665157415302</v>
      </c>
      <c r="H16" s="17">
        <v>1692.466579944582</v>
      </c>
      <c r="I16" s="17">
        <v>1698.0726214422541</v>
      </c>
      <c r="J16" s="17">
        <v>1700.5283531689524</v>
      </c>
      <c r="K16" s="17">
        <v>1702.4240585377279</v>
      </c>
      <c r="L16" s="17">
        <v>1703.6884830714689</v>
      </c>
      <c r="M16" s="17">
        <v>1704.7425495563195</v>
      </c>
      <c r="N16" s="17">
        <v>1706.1485079001461</v>
      </c>
      <c r="Q16" s="9">
        <v>9</v>
      </c>
      <c r="R16" s="7">
        <v>5.6500000000000002E-2</v>
      </c>
      <c r="S16" s="11">
        <f t="shared" si="0"/>
        <v>1023.6891047400877</v>
      </c>
    </row>
    <row r="17" spans="4:17" x14ac:dyDescent="0.35">
      <c r="D17" s="1"/>
      <c r="E17" s="11">
        <v>16000</v>
      </c>
      <c r="F17" s="17">
        <v>1802.3117279140499</v>
      </c>
      <c r="G17" s="17">
        <v>1804.5509501242987</v>
      </c>
      <c r="H17" s="17">
        <v>1805.2976852742211</v>
      </c>
      <c r="I17" s="17">
        <v>1811.2774628717377</v>
      </c>
      <c r="J17" s="17">
        <v>1813.8969100468826</v>
      </c>
      <c r="K17" s="17">
        <v>1815.9189957735764</v>
      </c>
      <c r="L17" s="17">
        <v>1817.2677152762333</v>
      </c>
      <c r="M17" s="17">
        <v>1818.3920528600745</v>
      </c>
      <c r="N17" s="17">
        <v>1819.891741760156</v>
      </c>
      <c r="Q17" s="1"/>
    </row>
    <row r="18" spans="4:17" x14ac:dyDescent="0.35">
      <c r="D18" s="1"/>
      <c r="E18" s="11">
        <v>17000</v>
      </c>
      <c r="F18" s="17">
        <v>1914.9562109086783</v>
      </c>
      <c r="G18" s="17">
        <v>1917.3353845070676</v>
      </c>
      <c r="H18" s="17">
        <v>1918.1287906038597</v>
      </c>
      <c r="I18" s="17">
        <v>1924.4823043012211</v>
      </c>
      <c r="J18" s="17">
        <v>1927.2654669248127</v>
      </c>
      <c r="K18" s="17">
        <v>1929.4139330094249</v>
      </c>
      <c r="L18" s="17">
        <v>1930.8469474809981</v>
      </c>
      <c r="M18" s="17">
        <v>1932.041556163829</v>
      </c>
      <c r="N18" s="17">
        <v>1933.6349756201657</v>
      </c>
      <c r="Q18" s="1"/>
    </row>
    <row r="19" spans="4:17" x14ac:dyDescent="0.35">
      <c r="D19" s="1"/>
      <c r="E19" s="11">
        <v>19500</v>
      </c>
      <c r="F19" s="17">
        <v>2196.5674183952483</v>
      </c>
      <c r="G19" s="17">
        <v>2199.296470463989</v>
      </c>
      <c r="H19" s="17">
        <v>2200.2065539279565</v>
      </c>
      <c r="I19" s="17">
        <v>2207.4944078749304</v>
      </c>
      <c r="J19" s="17">
        <v>2210.686859119638</v>
      </c>
      <c r="K19" s="17">
        <v>2213.1512760990463</v>
      </c>
      <c r="L19" s="17">
        <v>2214.7950279929096</v>
      </c>
      <c r="M19" s="17">
        <v>2216.1653144232155</v>
      </c>
      <c r="N19" s="17">
        <v>2217.9930602701897</v>
      </c>
      <c r="Q19" s="1"/>
    </row>
    <row r="20" spans="4:17" x14ac:dyDescent="0.35">
      <c r="D20" s="1"/>
      <c r="Q20" s="1"/>
    </row>
    <row r="21" spans="4:17" x14ac:dyDescent="0.35">
      <c r="L21" s="3"/>
      <c r="Q21" s="1"/>
    </row>
    <row r="22" spans="4:17" x14ac:dyDescent="0.35">
      <c r="I22" s="3"/>
      <c r="P22"/>
    </row>
    <row r="23" spans="4:17" x14ac:dyDescent="0.35">
      <c r="P23"/>
    </row>
    <row r="24" spans="4:17" x14ac:dyDescent="0.35">
      <c r="P24"/>
    </row>
    <row r="25" spans="4:17" x14ac:dyDescent="0.35">
      <c r="K25" s="3"/>
      <c r="P25"/>
    </row>
    <row r="26" spans="4:17" x14ac:dyDescent="0.35">
      <c r="P26"/>
    </row>
    <row r="27" spans="4:17" x14ac:dyDescent="0.35">
      <c r="J27" s="3"/>
      <c r="P27"/>
    </row>
    <row r="28" spans="4:17" x14ac:dyDescent="0.35">
      <c r="P28"/>
    </row>
    <row r="29" spans="4:17" x14ac:dyDescent="0.35">
      <c r="P29"/>
    </row>
    <row r="30" spans="4:17" x14ac:dyDescent="0.35">
      <c r="P30"/>
    </row>
    <row r="31" spans="4:17" x14ac:dyDescent="0.35">
      <c r="P31"/>
    </row>
    <row r="32" spans="4:17" x14ac:dyDescent="0.35">
      <c r="P32"/>
    </row>
    <row r="33" spans="16:16" x14ac:dyDescent="0.35">
      <c r="P33"/>
    </row>
    <row r="34" spans="16:16" x14ac:dyDescent="0.35">
      <c r="P34"/>
    </row>
  </sheetData>
  <mergeCells count="1">
    <mergeCell ref="D4:N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BE392-A637-4CDA-9CC0-98025084B261}">
  <dimension ref="C4:Q48"/>
  <sheetViews>
    <sheetView tabSelected="1" topLeftCell="A30" zoomScale="85" zoomScaleNormal="85" workbookViewId="0">
      <selection activeCell="K38" sqref="K38"/>
    </sheetView>
  </sheetViews>
  <sheetFormatPr defaultRowHeight="14.5" x14ac:dyDescent="0.35"/>
  <cols>
    <col min="4" max="9" width="15.6328125" customWidth="1"/>
    <col min="10" max="10" width="20.6328125" customWidth="1"/>
    <col min="11" max="11" width="17.36328125" customWidth="1"/>
    <col min="12" max="12" width="19.54296875" customWidth="1"/>
    <col min="13" max="13" width="17.7265625" bestFit="1" customWidth="1"/>
    <col min="15" max="17" width="9" bestFit="1" customWidth="1"/>
  </cols>
  <sheetData>
    <row r="4" spans="4:17" ht="26.5" thickBot="1" x14ac:dyDescent="0.65">
      <c r="D4" s="20" t="s">
        <v>16</v>
      </c>
      <c r="E4" s="20"/>
      <c r="F4" s="20"/>
      <c r="G4" s="20"/>
      <c r="H4" s="20"/>
      <c r="I4" s="20"/>
      <c r="J4" s="20"/>
      <c r="K4" s="20"/>
      <c r="L4" s="20"/>
    </row>
    <row r="5" spans="4:17" ht="15" thickTop="1" x14ac:dyDescent="0.35"/>
    <row r="8" spans="4:17" x14ac:dyDescent="0.35">
      <c r="D8" s="14" t="s">
        <v>11</v>
      </c>
      <c r="E8" s="14" t="s">
        <v>12</v>
      </c>
      <c r="F8" s="14" t="s">
        <v>13</v>
      </c>
      <c r="G8" s="14" t="s">
        <v>14</v>
      </c>
      <c r="H8" s="14" t="s">
        <v>15</v>
      </c>
      <c r="I8" s="15" t="s">
        <v>22</v>
      </c>
      <c r="J8" s="14" t="s">
        <v>24</v>
      </c>
      <c r="K8" s="14" t="s">
        <v>25</v>
      </c>
      <c r="L8" s="14" t="s">
        <v>26</v>
      </c>
      <c r="O8" s="13"/>
      <c r="P8" s="13"/>
    </row>
    <row r="9" spans="4:17" x14ac:dyDescent="0.35">
      <c r="D9" s="12">
        <v>1068</v>
      </c>
      <c r="E9" s="12">
        <v>1731</v>
      </c>
      <c r="F9" s="12">
        <v>463</v>
      </c>
      <c r="G9" s="12">
        <v>854</v>
      </c>
      <c r="H9" s="12">
        <v>912</v>
      </c>
      <c r="I9" s="12">
        <v>972</v>
      </c>
      <c r="J9" s="12">
        <f>AVERAGE(D9:I9)</f>
        <v>1000</v>
      </c>
      <c r="K9" s="12">
        <f>SUM(D9:I9)</f>
        <v>6000</v>
      </c>
      <c r="L9" s="12" t="str">
        <f>IF(K9&gt;=6000,"Yes","No")</f>
        <v>Yes</v>
      </c>
      <c r="O9" s="13"/>
      <c r="Q9" s="13"/>
    </row>
    <row r="10" spans="4:17" x14ac:dyDescent="0.35">
      <c r="D10" s="13"/>
      <c r="O10" s="13"/>
    </row>
    <row r="14" spans="4:17" x14ac:dyDescent="0.35">
      <c r="D14" s="14" t="s">
        <v>17</v>
      </c>
      <c r="E14" s="14" t="s">
        <v>18</v>
      </c>
      <c r="F14" s="14" t="s">
        <v>19</v>
      </c>
      <c r="G14" s="14" t="s">
        <v>20</v>
      </c>
      <c r="H14" s="14" t="s">
        <v>21</v>
      </c>
      <c r="I14" s="15" t="s">
        <v>23</v>
      </c>
      <c r="J14" s="14" t="s">
        <v>42</v>
      </c>
      <c r="K14" s="14" t="s">
        <v>36</v>
      </c>
      <c r="L14" s="14" t="s">
        <v>35</v>
      </c>
    </row>
    <row r="15" spans="4:17" x14ac:dyDescent="0.35">
      <c r="D15" s="1">
        <v>95</v>
      </c>
      <c r="E15" s="1">
        <v>81</v>
      </c>
      <c r="F15" s="1">
        <v>83</v>
      </c>
      <c r="G15" s="1">
        <v>85</v>
      </c>
      <c r="H15" s="1">
        <v>95</v>
      </c>
      <c r="I15" s="1">
        <v>100.99999999999994</v>
      </c>
      <c r="J15" s="1">
        <f>AVERAGE(D15:I15)</f>
        <v>90</v>
      </c>
      <c r="K15" s="1">
        <f>SUM(D15:I15)</f>
        <v>540</v>
      </c>
      <c r="L15" s="1" t="str">
        <f>IF(J15&gt;=90,"Pass","Fail")</f>
        <v>Pass</v>
      </c>
    </row>
    <row r="27" spans="3:17" x14ac:dyDescent="0.35">
      <c r="C27" s="14"/>
      <c r="D27" s="14" t="s">
        <v>11</v>
      </c>
      <c r="E27" s="14" t="s">
        <v>12</v>
      </c>
      <c r="F27" s="14" t="s">
        <v>13</v>
      </c>
      <c r="G27" s="14" t="s">
        <v>14</v>
      </c>
      <c r="H27" s="14" t="s">
        <v>15</v>
      </c>
      <c r="I27" s="15" t="s">
        <v>22</v>
      </c>
      <c r="J27" s="14" t="s">
        <v>24</v>
      </c>
      <c r="K27" s="14" t="s">
        <v>25</v>
      </c>
      <c r="L27" s="14" t="s">
        <v>33</v>
      </c>
      <c r="M27" s="14" t="s">
        <v>34</v>
      </c>
    </row>
    <row r="28" spans="3:17" x14ac:dyDescent="0.35">
      <c r="C28" s="14" t="s">
        <v>27</v>
      </c>
      <c r="D28" s="12">
        <v>1068</v>
      </c>
      <c r="E28" s="12">
        <v>1731</v>
      </c>
      <c r="F28" s="12">
        <v>463</v>
      </c>
      <c r="G28" s="12">
        <v>854</v>
      </c>
      <c r="H28" s="12">
        <v>912</v>
      </c>
      <c r="I28" s="12">
        <v>972</v>
      </c>
      <c r="J28" s="12">
        <f>AVERAGE(D28:I28)</f>
        <v>1000</v>
      </c>
      <c r="K28" s="12">
        <f t="shared" ref="K28:K33" si="0">SUM(D28:I28)</f>
        <v>6000</v>
      </c>
      <c r="L28" s="12">
        <v>6000</v>
      </c>
      <c r="M28" s="12" t="str">
        <f t="shared" ref="M28:M33" si="1">IF(K28&gt;=6000,"Yes","No")</f>
        <v>Yes</v>
      </c>
      <c r="O28" s="13"/>
    </row>
    <row r="29" spans="3:17" x14ac:dyDescent="0.35">
      <c r="C29" s="14" t="s">
        <v>28</v>
      </c>
      <c r="D29" s="12">
        <v>584</v>
      </c>
      <c r="E29" s="12">
        <v>1562</v>
      </c>
      <c r="F29" s="12">
        <v>568</v>
      </c>
      <c r="G29" s="12">
        <v>106</v>
      </c>
      <c r="H29" s="12">
        <v>658</v>
      </c>
      <c r="I29" s="12">
        <f>L29-D29-E29-F29-G29-H29</f>
        <v>2522</v>
      </c>
      <c r="J29" s="12">
        <f t="shared" ref="J29:J33" si="2">AVERAGE(D29:I29)</f>
        <v>1000</v>
      </c>
      <c r="K29" s="12">
        <f t="shared" si="0"/>
        <v>6000</v>
      </c>
      <c r="L29" s="12">
        <v>6000</v>
      </c>
      <c r="M29" s="12" t="str">
        <f t="shared" si="1"/>
        <v>Yes</v>
      </c>
      <c r="O29" s="13"/>
      <c r="Q29" s="13"/>
    </row>
    <row r="30" spans="3:17" x14ac:dyDescent="0.35">
      <c r="C30" s="14" t="s">
        <v>29</v>
      </c>
      <c r="D30" s="12">
        <v>568</v>
      </c>
      <c r="E30" s="12">
        <v>785</v>
      </c>
      <c r="F30" s="12">
        <v>1068</v>
      </c>
      <c r="G30" s="12">
        <v>658</v>
      </c>
      <c r="H30" s="12">
        <v>462</v>
      </c>
      <c r="I30" s="12">
        <f t="shared" ref="I30:I33" si="3">L30-D30-E30-F30-G30-H30</f>
        <v>2459</v>
      </c>
      <c r="J30" s="12">
        <f t="shared" si="2"/>
        <v>1000</v>
      </c>
      <c r="K30" s="12">
        <f t="shared" si="0"/>
        <v>6000</v>
      </c>
      <c r="L30" s="12">
        <v>6000</v>
      </c>
      <c r="M30" s="12" t="str">
        <f t="shared" si="1"/>
        <v>Yes</v>
      </c>
      <c r="O30" s="13"/>
    </row>
    <row r="31" spans="3:17" x14ac:dyDescent="0.35">
      <c r="C31" s="14" t="s">
        <v>30</v>
      </c>
      <c r="D31" s="12">
        <v>1502</v>
      </c>
      <c r="E31" s="12">
        <v>1325</v>
      </c>
      <c r="F31" s="12">
        <v>984</v>
      </c>
      <c r="G31" s="12">
        <v>1254</v>
      </c>
      <c r="H31" s="12">
        <v>458</v>
      </c>
      <c r="I31" s="12">
        <f t="shared" si="3"/>
        <v>477</v>
      </c>
      <c r="J31" s="12">
        <f t="shared" si="2"/>
        <v>1000</v>
      </c>
      <c r="K31" s="12">
        <f t="shared" si="0"/>
        <v>6000</v>
      </c>
      <c r="L31" s="12">
        <v>6000</v>
      </c>
      <c r="M31" s="12" t="str">
        <f t="shared" si="1"/>
        <v>Yes</v>
      </c>
      <c r="O31" s="13"/>
      <c r="P31" s="13"/>
    </row>
    <row r="32" spans="3:17" x14ac:dyDescent="0.35">
      <c r="C32" s="14" t="s">
        <v>31</v>
      </c>
      <c r="D32" s="12">
        <v>568</v>
      </c>
      <c r="E32" s="12">
        <v>752</v>
      </c>
      <c r="F32" s="12">
        <v>1052</v>
      </c>
      <c r="G32" s="12">
        <v>630</v>
      </c>
      <c r="H32" s="12">
        <v>453</v>
      </c>
      <c r="I32" s="12">
        <f t="shared" si="3"/>
        <v>2545</v>
      </c>
      <c r="J32" s="12">
        <f t="shared" si="2"/>
        <v>1000</v>
      </c>
      <c r="K32" s="12">
        <f t="shared" si="0"/>
        <v>6000</v>
      </c>
      <c r="L32" s="12">
        <v>6000</v>
      </c>
      <c r="M32" s="12" t="str">
        <f t="shared" si="1"/>
        <v>Yes</v>
      </c>
      <c r="O32" s="13"/>
    </row>
    <row r="33" spans="3:15" x14ac:dyDescent="0.35">
      <c r="C33" s="14" t="s">
        <v>32</v>
      </c>
      <c r="D33" s="12">
        <v>384</v>
      </c>
      <c r="E33" s="12">
        <v>1540</v>
      </c>
      <c r="F33" s="12">
        <v>524</v>
      </c>
      <c r="G33" s="12">
        <v>106</v>
      </c>
      <c r="H33" s="12">
        <v>558</v>
      </c>
      <c r="I33" s="12">
        <f t="shared" si="3"/>
        <v>2888</v>
      </c>
      <c r="J33" s="12">
        <f t="shared" si="2"/>
        <v>1000</v>
      </c>
      <c r="K33" s="12">
        <f t="shared" si="0"/>
        <v>6000</v>
      </c>
      <c r="L33" s="12">
        <v>6000</v>
      </c>
      <c r="M33" s="12" t="str">
        <f t="shared" si="1"/>
        <v>Yes</v>
      </c>
      <c r="O33" s="13"/>
    </row>
    <row r="36" spans="3:15" x14ac:dyDescent="0.35">
      <c r="C36" s="14"/>
      <c r="D36" s="14" t="s">
        <v>17</v>
      </c>
      <c r="E36" s="14" t="s">
        <v>18</v>
      </c>
      <c r="F36" s="14" t="s">
        <v>19</v>
      </c>
      <c r="G36" s="14" t="s">
        <v>20</v>
      </c>
      <c r="H36" s="14" t="s">
        <v>21</v>
      </c>
      <c r="I36" s="15" t="s">
        <v>23</v>
      </c>
      <c r="J36" s="14" t="s">
        <v>42</v>
      </c>
      <c r="K36" s="14" t="s">
        <v>36</v>
      </c>
      <c r="L36" s="14" t="s">
        <v>35</v>
      </c>
    </row>
    <row r="37" spans="3:15" x14ac:dyDescent="0.35">
      <c r="C37" s="14" t="s">
        <v>37</v>
      </c>
      <c r="D37" s="1">
        <v>95</v>
      </c>
      <c r="E37" s="1">
        <v>81</v>
      </c>
      <c r="F37" s="1">
        <v>83</v>
      </c>
      <c r="G37" s="1">
        <v>85</v>
      </c>
      <c r="H37" s="1">
        <v>95</v>
      </c>
      <c r="I37" s="1">
        <f>540-D37-E37-F37-G37-H37</f>
        <v>101</v>
      </c>
      <c r="J37" s="1">
        <f>AVERAGE(D37:I37)</f>
        <v>90</v>
      </c>
      <c r="K37" s="1">
        <f>I37</f>
        <v>101</v>
      </c>
      <c r="L37" s="1" t="str">
        <f>IF(J37&gt;=90,"Pass","Fail")</f>
        <v>Pass</v>
      </c>
    </row>
    <row r="38" spans="3:15" x14ac:dyDescent="0.35">
      <c r="C38" s="14" t="s">
        <v>38</v>
      </c>
      <c r="D38" s="1">
        <v>85</v>
      </c>
      <c r="E38" s="1">
        <v>83</v>
      </c>
      <c r="F38" s="1">
        <v>94</v>
      </c>
      <c r="G38" s="1">
        <v>91</v>
      </c>
      <c r="H38" s="1">
        <v>95</v>
      </c>
      <c r="I38" s="1">
        <f t="shared" ref="I38:I41" si="4">540-D38-E38-F38-G38-H38</f>
        <v>92</v>
      </c>
      <c r="J38" s="1">
        <f>AVERAGE(D38:I38)</f>
        <v>90</v>
      </c>
      <c r="K38" s="1">
        <f>I38</f>
        <v>92</v>
      </c>
      <c r="L38" s="1" t="str">
        <f t="shared" ref="L38:L41" si="5">IF(J38&gt;=90,"Pass","Fail")</f>
        <v>Pass</v>
      </c>
    </row>
    <row r="39" spans="3:15" x14ac:dyDescent="0.35">
      <c r="C39" s="14" t="s">
        <v>39</v>
      </c>
      <c r="D39" s="1">
        <v>91</v>
      </c>
      <c r="E39" s="1">
        <v>85</v>
      </c>
      <c r="F39" s="1">
        <v>87</v>
      </c>
      <c r="G39" s="1">
        <v>82</v>
      </c>
      <c r="H39" s="1">
        <v>93</v>
      </c>
      <c r="I39" s="1">
        <f t="shared" si="4"/>
        <v>102</v>
      </c>
      <c r="J39" s="1">
        <f t="shared" ref="J39:J40" si="6">AVERAGE(D39:I39)</f>
        <v>90</v>
      </c>
      <c r="K39" s="1">
        <f>I39</f>
        <v>102</v>
      </c>
      <c r="L39" s="1" t="str">
        <f t="shared" si="5"/>
        <v>Pass</v>
      </c>
    </row>
    <row r="40" spans="3:15" x14ac:dyDescent="0.35">
      <c r="C40" s="14" t="s">
        <v>40</v>
      </c>
      <c r="D40" s="1">
        <v>76</v>
      </c>
      <c r="E40" s="1">
        <v>83</v>
      </c>
      <c r="F40" s="1">
        <v>95</v>
      </c>
      <c r="G40" s="1">
        <v>95</v>
      </c>
      <c r="H40" s="1">
        <v>98</v>
      </c>
      <c r="I40" s="1">
        <f t="shared" si="4"/>
        <v>93</v>
      </c>
      <c r="J40" s="1">
        <f t="shared" si="6"/>
        <v>90</v>
      </c>
      <c r="K40" s="1">
        <f t="shared" ref="K40:K41" si="7">I40</f>
        <v>93</v>
      </c>
      <c r="L40" s="1" t="str">
        <f t="shared" si="5"/>
        <v>Pass</v>
      </c>
    </row>
    <row r="41" spans="3:15" x14ac:dyDescent="0.35">
      <c r="C41" s="14" t="s">
        <v>41</v>
      </c>
      <c r="D41" s="1">
        <v>91</v>
      </c>
      <c r="E41" s="1">
        <v>87</v>
      </c>
      <c r="F41" s="1">
        <v>91</v>
      </c>
      <c r="G41" s="1">
        <v>89</v>
      </c>
      <c r="H41" s="1">
        <v>91</v>
      </c>
      <c r="I41" s="1">
        <f t="shared" si="4"/>
        <v>91</v>
      </c>
      <c r="J41" s="1">
        <f>AVERAGE(D41:I41)</f>
        <v>90</v>
      </c>
      <c r="K41" s="1">
        <f t="shared" si="7"/>
        <v>91</v>
      </c>
      <c r="L41" s="1" t="str">
        <f t="shared" si="5"/>
        <v>Pass</v>
      </c>
    </row>
    <row r="42" spans="3:15" x14ac:dyDescent="0.35">
      <c r="D42" s="1"/>
      <c r="E42" s="1"/>
      <c r="F42" s="1"/>
      <c r="G42" s="1"/>
      <c r="H42" s="1"/>
    </row>
    <row r="43" spans="3:15" x14ac:dyDescent="0.35">
      <c r="D43" s="1"/>
      <c r="E43" s="1"/>
      <c r="F43" s="1"/>
      <c r="G43" s="1"/>
      <c r="H43" s="1"/>
    </row>
    <row r="47" spans="3:15" x14ac:dyDescent="0.35">
      <c r="C47" s="14"/>
      <c r="D47" s="14" t="s">
        <v>17</v>
      </c>
      <c r="E47" s="14" t="s">
        <v>18</v>
      </c>
      <c r="F47" s="14" t="s">
        <v>19</v>
      </c>
      <c r="G47" s="14" t="s">
        <v>20</v>
      </c>
      <c r="H47" s="14" t="s">
        <v>21</v>
      </c>
      <c r="I47" s="15" t="s">
        <v>23</v>
      </c>
      <c r="J47" s="14" t="s">
        <v>42</v>
      </c>
      <c r="K47" s="14" t="s">
        <v>36</v>
      </c>
      <c r="L47" s="14" t="s">
        <v>35</v>
      </c>
    </row>
    <row r="48" spans="3:15" x14ac:dyDescent="0.35">
      <c r="C48" s="14" t="s">
        <v>38</v>
      </c>
      <c r="D48" s="16">
        <v>85</v>
      </c>
      <c r="E48" s="16">
        <v>83</v>
      </c>
      <c r="F48" s="16">
        <v>94</v>
      </c>
      <c r="G48" s="16">
        <v>91</v>
      </c>
      <c r="H48" s="16">
        <v>95</v>
      </c>
      <c r="I48" s="16">
        <v>91.999999999999957</v>
      </c>
      <c r="J48" s="16">
        <f t="shared" ref="J48" si="8">AVERAGE(D48:I48)</f>
        <v>90</v>
      </c>
      <c r="K48" s="16">
        <f>I48</f>
        <v>91.999999999999957</v>
      </c>
      <c r="L48" s="1" t="str">
        <f t="shared" ref="L48" si="9">IF(K48&gt;=90,"Pass","Fail")</f>
        <v>Pass</v>
      </c>
    </row>
  </sheetData>
  <mergeCells count="1">
    <mergeCell ref="D4:L4"/>
  </mergeCells>
  <phoneticPr fontId="5" type="noConversion"/>
  <conditionalFormatting sqref="L9">
    <cfRule type="cellIs" dxfId="23" priority="34" operator="equal">
      <formula>"No"</formula>
    </cfRule>
    <cfRule type="cellIs" dxfId="22" priority="33" operator="equal">
      <formula>"Yes"</formula>
    </cfRule>
    <cfRule type="cellIs" dxfId="21" priority="32" operator="equal">
      <formula>"No"</formula>
    </cfRule>
    <cfRule type="cellIs" dxfId="20" priority="31" operator="equal">
      <formula>"No"</formula>
    </cfRule>
  </conditionalFormatting>
  <conditionalFormatting sqref="L15">
    <cfRule type="cellIs" dxfId="19" priority="5" operator="equal">
      <formula>"Pass"</formula>
    </cfRule>
    <cfRule type="cellIs" dxfId="18" priority="6" operator="equal">
      <formula>"Fail"</formula>
    </cfRule>
  </conditionalFormatting>
  <conditionalFormatting sqref="L37:L41">
    <cfRule type="cellIs" dxfId="17" priority="3" operator="equal">
      <formula>"Pass"</formula>
    </cfRule>
    <cfRule type="cellIs" dxfId="16" priority="4" operator="equal">
      <formula>"Fail"</formula>
    </cfRule>
  </conditionalFormatting>
  <conditionalFormatting sqref="L48">
    <cfRule type="cellIs" dxfId="15" priority="2" operator="equal">
      <formula>"Fail"</formula>
    </cfRule>
    <cfRule type="cellIs" dxfId="14" priority="1" operator="equal">
      <formula>"Pass"</formula>
    </cfRule>
  </conditionalFormatting>
  <conditionalFormatting sqref="M28">
    <cfRule type="cellIs" dxfId="13" priority="28" operator="equal">
      <formula>"No"</formula>
    </cfRule>
    <cfRule type="cellIs" dxfId="12" priority="30" operator="equal">
      <formula>"No"</formula>
    </cfRule>
  </conditionalFormatting>
  <conditionalFormatting sqref="M28:M29">
    <cfRule type="cellIs" dxfId="11" priority="26" operator="equal">
      <formula>"No"</formula>
    </cfRule>
  </conditionalFormatting>
  <conditionalFormatting sqref="M28:M33">
    <cfRule type="cellIs" dxfId="10" priority="9" operator="equal">
      <formula>"Yes"</formula>
    </cfRule>
  </conditionalFormatting>
  <conditionalFormatting sqref="M29">
    <cfRule type="cellIs" dxfId="9" priority="24" operator="equal">
      <formula>"No"</formula>
    </cfRule>
  </conditionalFormatting>
  <conditionalFormatting sqref="M29:M30">
    <cfRule type="cellIs" dxfId="8" priority="22" operator="equal">
      <formula>"No"</formula>
    </cfRule>
  </conditionalFormatting>
  <conditionalFormatting sqref="M30">
    <cfRule type="cellIs" dxfId="7" priority="20" operator="equal">
      <formula>"No"</formula>
    </cfRule>
  </conditionalFormatting>
  <conditionalFormatting sqref="M30:M31">
    <cfRule type="cellIs" dxfId="6" priority="18" operator="equal">
      <formula>"No"</formula>
    </cfRule>
  </conditionalFormatting>
  <conditionalFormatting sqref="M31">
    <cfRule type="cellIs" dxfId="5" priority="16" operator="equal">
      <formula>"No"</formula>
    </cfRule>
  </conditionalFormatting>
  <conditionalFormatting sqref="M31:M32">
    <cfRule type="cellIs" dxfId="4" priority="14" operator="equal">
      <formula>"No"</formula>
    </cfRule>
  </conditionalFormatting>
  <conditionalFormatting sqref="M32">
    <cfRule type="cellIs" dxfId="3" priority="12" operator="equal">
      <formula>"No"</formula>
    </cfRule>
  </conditionalFormatting>
  <conditionalFormatting sqref="M32:M33">
    <cfRule type="cellIs" dxfId="2" priority="10" operator="equal">
      <formula>"No"</formula>
    </cfRule>
  </conditionalFormatting>
  <conditionalFormatting sqref="M33">
    <cfRule type="cellIs" dxfId="1" priority="7" operator="equal">
      <formula>"No"</formula>
    </cfRule>
    <cfRule type="cellIs" dxfId="0" priority="8" operator="equal">
      <formula>"No"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WI1</vt:lpstr>
      <vt:lpstr>WI 2</vt:lpstr>
      <vt:lpstr>WI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Warrick K</dc:creator>
  <cp:lastModifiedBy>Manikandan J</cp:lastModifiedBy>
  <dcterms:created xsi:type="dcterms:W3CDTF">2017-03-08T17:44:46Z</dcterms:created>
  <dcterms:modified xsi:type="dcterms:W3CDTF">2025-12-27T11:02:05Z</dcterms:modified>
</cp:coreProperties>
</file>