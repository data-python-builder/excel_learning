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6.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7.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31f74be0ec04da46/Desktop/Excel/Section 2/"/>
    </mc:Choice>
  </mc:AlternateContent>
  <xr:revisionPtr revIDLastSave="781" documentId="8_{F62CD6BA-0C3D-496B-A88E-E0AD9D08D781}" xr6:coauthVersionLast="47" xr6:coauthVersionMax="47" xr10:uidLastSave="{D8D60BE3-A60E-47D3-80D7-36997C209262}"/>
  <bookViews>
    <workbookView xWindow="-110" yWindow="-110" windowWidth="19420" windowHeight="10300" tabRatio="814" firstSheet="10" activeTab="17" xr2:uid="{00000000-000D-0000-FFFF-FFFF00000000}"/>
  </bookViews>
  <sheets>
    <sheet name="Navigation" sheetId="9" r:id="rId1"/>
    <sheet name="References" sheetId="23" r:id="rId2"/>
    <sheet name="IF Function" sheetId="10" r:id="rId3"/>
    <sheet name="F &amp; F 1" sheetId="29" r:id="rId4"/>
    <sheet name="F &amp; F 2" sheetId="7" r:id="rId5"/>
    <sheet name="F &amp; F Exercise" sheetId="32" r:id="rId6"/>
    <sheet name="F &amp; F Exercise Solution" sheetId="30" r:id="rId7"/>
    <sheet name="Monthly Income" sheetId="24" r:id="rId8"/>
    <sheet name="eBay Profit Loss" sheetId="33" r:id="rId9"/>
    <sheet name="IfAndOr" sheetId="34" r:id="rId10"/>
    <sheet name="Concatenate" sheetId="11" r:id="rId11"/>
    <sheet name="Nav Pane" sheetId="27" r:id="rId12"/>
    <sheet name="Vlookup" sheetId="16" r:id="rId13"/>
    <sheet name="Subtotalling" sheetId="20" r:id="rId14"/>
    <sheet name="Backup" sheetId="35" r:id="rId15"/>
    <sheet name="Goals Example" sheetId="13" r:id="rId16"/>
    <sheet name="Goals exercise" sheetId="6" r:id="rId17"/>
    <sheet name="Goals Printing" sheetId="28" r:id="rId18"/>
  </sheets>
  <externalReferences>
    <externalReference r:id="rId19"/>
    <externalReference r:id="rId20"/>
  </externalReferences>
  <definedNames>
    <definedName name="_xlcn.WorksheetConnection_DecemberE5F111" hidden="1">[1]Functionality!$C$6:$D$14</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ecember!$E$5:$F$1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3" i="16" l="1"/>
  <c r="D13" i="16"/>
  <c r="F12" i="11"/>
  <c r="Q44" i="29"/>
  <c r="Q40" i="29"/>
  <c r="D26" i="6"/>
  <c r="E21" i="6"/>
  <c r="F21" i="6"/>
  <c r="G21" i="6"/>
  <c r="H21" i="6"/>
  <c r="I21" i="6"/>
  <c r="J21" i="6"/>
  <c r="K21" i="6"/>
  <c r="L21" i="6"/>
  <c r="M21" i="6"/>
  <c r="N21" i="6"/>
  <c r="O21" i="6"/>
  <c r="D21" i="6"/>
  <c r="E20" i="6"/>
  <c r="F20" i="6"/>
  <c r="G20" i="6"/>
  <c r="H20" i="6"/>
  <c r="I20" i="6"/>
  <c r="J20" i="6"/>
  <c r="K20" i="6"/>
  <c r="L20" i="6"/>
  <c r="M20" i="6"/>
  <c r="N20" i="6"/>
  <c r="O20" i="6"/>
  <c r="D20" i="6"/>
  <c r="E19" i="6"/>
  <c r="F19" i="6"/>
  <c r="G19" i="6"/>
  <c r="H19" i="6"/>
  <c r="I19" i="6"/>
  <c r="J19" i="6"/>
  <c r="K19" i="6"/>
  <c r="L19" i="6"/>
  <c r="M19" i="6"/>
  <c r="N19" i="6"/>
  <c r="O19" i="6"/>
  <c r="D19" i="6"/>
  <c r="R9" i="6"/>
  <c r="D27" i="6" s="1"/>
  <c r="F27" i="6" s="1"/>
  <c r="R10" i="6"/>
  <c r="D28" i="6" s="1"/>
  <c r="F28" i="6" s="1"/>
  <c r="R11" i="6"/>
  <c r="D29" i="6" s="1"/>
  <c r="F29" i="6" s="1"/>
  <c r="R12" i="6"/>
  <c r="D30" i="6" s="1"/>
  <c r="F30" i="6" s="1"/>
  <c r="R13" i="6"/>
  <c r="D31" i="6" s="1"/>
  <c r="F31" i="6" s="1"/>
  <c r="R14" i="6"/>
  <c r="D32" i="6" s="1"/>
  <c r="F32" i="6" s="1"/>
  <c r="R15" i="6"/>
  <c r="D33" i="6" s="1"/>
  <c r="F33" i="6" s="1"/>
  <c r="R16" i="6"/>
  <c r="D34" i="6" s="1"/>
  <c r="F34" i="6" s="1"/>
  <c r="R17" i="6"/>
  <c r="K34" i="6" s="1"/>
  <c r="R8" i="6"/>
  <c r="F26" i="6" s="1"/>
  <c r="Q9" i="6"/>
  <c r="Q10" i="6"/>
  <c r="Q11" i="6"/>
  <c r="Q12" i="6"/>
  <c r="Q13" i="6"/>
  <c r="Q14" i="6"/>
  <c r="Q15" i="6"/>
  <c r="Q16" i="6"/>
  <c r="Q17" i="6"/>
  <c r="Q8" i="6"/>
  <c r="D172" i="20"/>
  <c r="D148" i="20"/>
  <c r="D75" i="20"/>
  <c r="D73" i="20"/>
  <c r="D50" i="20"/>
  <c r="D173" i="20" s="1"/>
  <c r="H149" i="20"/>
  <c r="H172" i="20" s="1"/>
  <c r="H9" i="20"/>
  <c r="H76" i="20"/>
  <c r="H10" i="20"/>
  <c r="H11" i="20"/>
  <c r="H77" i="20"/>
  <c r="H148" i="20" s="1"/>
  <c r="H78" i="20"/>
  <c r="H12" i="20"/>
  <c r="H150" i="20"/>
  <c r="H13" i="20"/>
  <c r="H51" i="20"/>
  <c r="H73" i="20" s="1"/>
  <c r="H14" i="20"/>
  <c r="H15" i="20"/>
  <c r="H151" i="20"/>
  <c r="H16" i="20"/>
  <c r="H17" i="20"/>
  <c r="H52" i="20"/>
  <c r="H18" i="20"/>
  <c r="H19" i="20"/>
  <c r="H20" i="20"/>
  <c r="H21" i="20"/>
  <c r="H53" i="20"/>
  <c r="H22" i="20"/>
  <c r="H23" i="20"/>
  <c r="H50" i="20" s="1"/>
  <c r="H24" i="20"/>
  <c r="H79" i="20"/>
  <c r="H152" i="20"/>
  <c r="H153" i="20"/>
  <c r="H25" i="20"/>
  <c r="H54" i="20"/>
  <c r="H80" i="20"/>
  <c r="H81" i="20"/>
  <c r="H26" i="20"/>
  <c r="H154" i="20"/>
  <c r="H27" i="20"/>
  <c r="H28" i="20"/>
  <c r="H29" i="20"/>
  <c r="H155" i="20"/>
  <c r="H30" i="20"/>
  <c r="H31" i="20"/>
  <c r="H32" i="20"/>
  <c r="H33" i="20"/>
  <c r="H34" i="20"/>
  <c r="H35" i="20"/>
  <c r="H36" i="20"/>
  <c r="H55" i="20"/>
  <c r="H56" i="20"/>
  <c r="H37" i="20"/>
  <c r="H57" i="20"/>
  <c r="H58" i="20"/>
  <c r="H59" i="20"/>
  <c r="H82" i="20"/>
  <c r="H60" i="20"/>
  <c r="H61" i="20"/>
  <c r="H156" i="20"/>
  <c r="H83" i="20"/>
  <c r="H62" i="20"/>
  <c r="H84" i="20"/>
  <c r="H85" i="20"/>
  <c r="H86" i="20"/>
  <c r="H87" i="20"/>
  <c r="H157" i="20"/>
  <c r="H158" i="20"/>
  <c r="H88" i="20"/>
  <c r="H159" i="20"/>
  <c r="H89" i="20"/>
  <c r="H90" i="20"/>
  <c r="H91" i="20"/>
  <c r="H92" i="20"/>
  <c r="H93" i="20"/>
  <c r="H94" i="20"/>
  <c r="H95" i="20"/>
  <c r="H38" i="20"/>
  <c r="H96" i="20"/>
  <c r="H97" i="20"/>
  <c r="H39" i="20"/>
  <c r="H63" i="20"/>
  <c r="H40" i="20"/>
  <c r="H98" i="20"/>
  <c r="H99" i="20"/>
  <c r="H100" i="20"/>
  <c r="H101" i="20"/>
  <c r="H41" i="20"/>
  <c r="H42" i="20"/>
  <c r="H102" i="20"/>
  <c r="H43" i="20"/>
  <c r="H103" i="20"/>
  <c r="H104" i="20"/>
  <c r="H44" i="20"/>
  <c r="H105" i="20"/>
  <c r="H106" i="20"/>
  <c r="H107" i="20"/>
  <c r="H108" i="20"/>
  <c r="H109" i="20"/>
  <c r="H45" i="20"/>
  <c r="H110" i="20"/>
  <c r="H111" i="20"/>
  <c r="H112" i="20"/>
  <c r="H46" i="20"/>
  <c r="H47" i="20"/>
  <c r="H113" i="20"/>
  <c r="H114" i="20"/>
  <c r="H115" i="20"/>
  <c r="H64" i="20"/>
  <c r="H116" i="20"/>
  <c r="H117" i="20"/>
  <c r="H118" i="20"/>
  <c r="H160" i="20"/>
  <c r="H119" i="20"/>
  <c r="H120" i="20"/>
  <c r="H121" i="20"/>
  <c r="H48" i="20"/>
  <c r="H122" i="20"/>
  <c r="H123" i="20"/>
  <c r="H124" i="20"/>
  <c r="H65" i="20"/>
  <c r="H66" i="20"/>
  <c r="H125" i="20"/>
  <c r="H161" i="20"/>
  <c r="H126" i="20"/>
  <c r="H127" i="20"/>
  <c r="H128" i="20"/>
  <c r="H162" i="20"/>
  <c r="H129" i="20"/>
  <c r="H130" i="20"/>
  <c r="H131" i="20"/>
  <c r="H67" i="20"/>
  <c r="H68" i="20"/>
  <c r="H132" i="20"/>
  <c r="H163" i="20"/>
  <c r="H133" i="20"/>
  <c r="H134" i="20"/>
  <c r="H135" i="20"/>
  <c r="H164" i="20"/>
  <c r="H136" i="20"/>
  <c r="H137" i="20"/>
  <c r="H138" i="20"/>
  <c r="H69" i="20"/>
  <c r="H70" i="20"/>
  <c r="H139" i="20"/>
  <c r="H165" i="20"/>
  <c r="H140" i="20"/>
  <c r="H49" i="20"/>
  <c r="H141" i="20"/>
  <c r="H166" i="20"/>
  <c r="H142" i="20"/>
  <c r="H143" i="20"/>
  <c r="H144" i="20"/>
  <c r="H145" i="20"/>
  <c r="H71" i="20"/>
  <c r="H72" i="20"/>
  <c r="H146" i="20"/>
  <c r="H147" i="20"/>
  <c r="H167" i="20"/>
  <c r="H168" i="20"/>
  <c r="H74" i="20"/>
  <c r="H75" i="20" s="1"/>
  <c r="H169" i="20"/>
  <c r="H170" i="20"/>
  <c r="H171" i="20"/>
  <c r="H8" i="20"/>
  <c r="H173" i="20" s="1"/>
  <c r="J164" i="35"/>
  <c r="I164" i="35"/>
  <c r="J117" i="35"/>
  <c r="J116" i="35"/>
  <c r="I116" i="35"/>
  <c r="J115" i="35"/>
  <c r="I115" i="35"/>
  <c r="J114" i="35"/>
  <c r="I114" i="35"/>
  <c r="J113" i="35"/>
  <c r="I113" i="35"/>
  <c r="J112" i="35"/>
  <c r="I112" i="35"/>
  <c r="J111" i="35"/>
  <c r="I111" i="35"/>
  <c r="J110" i="35"/>
  <c r="I110" i="35"/>
  <c r="J109" i="35"/>
  <c r="I109" i="35"/>
  <c r="J108" i="35"/>
  <c r="I108" i="35"/>
  <c r="J107" i="35"/>
  <c r="I107" i="35"/>
  <c r="J106" i="35"/>
  <c r="I106" i="35"/>
  <c r="J105" i="35"/>
  <c r="I105" i="35"/>
  <c r="J104" i="35"/>
  <c r="I104" i="35"/>
  <c r="J103" i="35"/>
  <c r="I103" i="35"/>
  <c r="J102" i="35"/>
  <c r="I102" i="35"/>
  <c r="J101" i="35"/>
  <c r="I101" i="35"/>
  <c r="J100" i="35"/>
  <c r="I100" i="35"/>
  <c r="J99" i="35"/>
  <c r="I99" i="35"/>
  <c r="J60" i="35"/>
  <c r="I60" i="35"/>
  <c r="J59" i="35"/>
  <c r="I59" i="35"/>
  <c r="J31" i="35"/>
  <c r="I31" i="35"/>
  <c r="J30" i="35"/>
  <c r="I30" i="35"/>
  <c r="J29" i="35"/>
  <c r="I29" i="35"/>
  <c r="J28" i="35"/>
  <c r="I28" i="35"/>
  <c r="J27" i="35"/>
  <c r="I27" i="35"/>
  <c r="J26" i="35"/>
  <c r="I26" i="35"/>
  <c r="J25" i="35"/>
  <c r="I25" i="35"/>
  <c r="J24" i="35"/>
  <c r="I24" i="35"/>
  <c r="J23" i="35"/>
  <c r="I23" i="35"/>
  <c r="T12" i="16"/>
  <c r="S12" i="16"/>
  <c r="D35" i="16"/>
  <c r="D36" i="16"/>
  <c r="D37" i="16"/>
  <c r="D38" i="16"/>
  <c r="D39" i="16"/>
  <c r="D40" i="16"/>
  <c r="D34" i="16"/>
  <c r="D26" i="16"/>
  <c r="D24" i="16"/>
  <c r="D25" i="16"/>
  <c r="D27" i="16"/>
  <c r="D28" i="16"/>
  <c r="D29" i="16"/>
  <c r="H78" i="34"/>
  <c r="H79" i="34"/>
  <c r="H80" i="34"/>
  <c r="H81" i="34"/>
  <c r="H82" i="34"/>
  <c r="H83" i="34"/>
  <c r="H84" i="34"/>
  <c r="H77" i="34"/>
  <c r="H68" i="34"/>
  <c r="H69" i="34"/>
  <c r="H70" i="34"/>
  <c r="H67" i="34"/>
  <c r="O55" i="34"/>
  <c r="O56" i="34"/>
  <c r="O57" i="34"/>
  <c r="O58" i="34"/>
  <c r="O59" i="34"/>
  <c r="O60" i="34"/>
  <c r="O61" i="34"/>
  <c r="O54" i="34"/>
  <c r="H55" i="34"/>
  <c r="H56" i="34"/>
  <c r="H57" i="34"/>
  <c r="H58" i="34"/>
  <c r="H59" i="34"/>
  <c r="H60" i="34"/>
  <c r="H61" i="34"/>
  <c r="H54" i="34"/>
  <c r="H40" i="34"/>
  <c r="H39" i="34"/>
  <c r="H41" i="34"/>
  <c r="H42" i="34"/>
  <c r="H43" i="34"/>
  <c r="H44" i="34"/>
  <c r="H45" i="34"/>
  <c r="H46" i="34"/>
  <c r="O19" i="34"/>
  <c r="O20" i="34"/>
  <c r="O21" i="34"/>
  <c r="O22" i="34"/>
  <c r="O23" i="34"/>
  <c r="O24" i="34"/>
  <c r="O25" i="34"/>
  <c r="O18" i="34"/>
  <c r="H31" i="34"/>
  <c r="H19" i="34"/>
  <c r="H20" i="34"/>
  <c r="H21" i="34"/>
  <c r="H22" i="34"/>
  <c r="H23" i="34"/>
  <c r="H24" i="34"/>
  <c r="H25" i="34"/>
  <c r="H18" i="34"/>
  <c r="Q11" i="10"/>
  <c r="Q12" i="10"/>
  <c r="Q13" i="10"/>
  <c r="Q14" i="10"/>
  <c r="Q15" i="10"/>
  <c r="Q16" i="10"/>
  <c r="Q17" i="10"/>
  <c r="Q18" i="10"/>
  <c r="D31" i="10"/>
  <c r="D32" i="10"/>
  <c r="D33" i="10"/>
  <c r="D34" i="10"/>
  <c r="D35" i="10"/>
  <c r="D36" i="10"/>
  <c r="D37" i="10"/>
  <c r="D38" i="10"/>
  <c r="D39" i="10"/>
  <c r="D40" i="10"/>
  <c r="F25" i="10"/>
  <c r="F26" i="10"/>
  <c r="F27" i="10"/>
  <c r="F18" i="10"/>
  <c r="F17" i="10"/>
  <c r="F16" i="10"/>
  <c r="F14" i="11"/>
  <c r="Q61" i="29"/>
  <c r="F34" i="11"/>
  <c r="F35" i="11"/>
  <c r="F36" i="11"/>
  <c r="F37" i="11"/>
  <c r="F38" i="11"/>
  <c r="F39" i="11"/>
  <c r="F33" i="11"/>
  <c r="F23" i="11"/>
  <c r="F24" i="11"/>
  <c r="F25" i="11"/>
  <c r="F26" i="11"/>
  <c r="F27" i="11"/>
  <c r="F28" i="11"/>
  <c r="F22" i="11"/>
  <c r="T71" i="29"/>
  <c r="Q71" i="29"/>
  <c r="Q66" i="29"/>
  <c r="T66" i="29"/>
  <c r="Q56" i="29"/>
  <c r="Q48" i="29"/>
  <c r="T40" i="29"/>
  <c r="L71" i="29"/>
  <c r="L66" i="29"/>
  <c r="L61" i="29"/>
  <c r="L56" i="29"/>
  <c r="L40" i="29"/>
  <c r="L44" i="29"/>
  <c r="L48" i="29"/>
  <c r="O10" i="29"/>
  <c r="N10" i="29"/>
  <c r="M10" i="29"/>
  <c r="J10" i="29"/>
  <c r="I10" i="29"/>
  <c r="I13" i="29"/>
  <c r="G27" i="29"/>
  <c r="G25" i="29"/>
  <c r="G24" i="29"/>
  <c r="G23" i="29"/>
  <c r="G22" i="29"/>
  <c r="E82" i="7"/>
  <c r="H82" i="7"/>
  <c r="G79" i="7"/>
  <c r="G77" i="7"/>
  <c r="I72" i="7"/>
  <c r="H72" i="7"/>
  <c r="G72" i="7"/>
  <c r="G74" i="7"/>
  <c r="G69" i="7"/>
  <c r="L13" i="7"/>
  <c r="L12" i="7"/>
  <c r="G9" i="7"/>
  <c r="G6" i="7"/>
  <c r="G46" i="23"/>
  <c r="F45" i="23"/>
  <c r="F40" i="23"/>
  <c r="G40" i="23" s="1"/>
  <c r="F41" i="23"/>
  <c r="G41" i="23" s="1"/>
  <c r="F42" i="23"/>
  <c r="G42" i="23" s="1"/>
  <c r="F43" i="23"/>
  <c r="G43" i="23" s="1"/>
  <c r="F44" i="23"/>
  <c r="G44" i="23" s="1"/>
  <c r="G45" i="23"/>
  <c r="F39" i="23"/>
  <c r="G39" i="23"/>
  <c r="I27" i="23"/>
  <c r="H26" i="23"/>
  <c r="I26" i="23"/>
  <c r="I25" i="23"/>
  <c r="H25" i="23"/>
  <c r="G25" i="23"/>
  <c r="F25" i="23"/>
  <c r="E25" i="23"/>
  <c r="D25" i="23"/>
  <c r="C25" i="23"/>
  <c r="J25" i="23"/>
  <c r="K25" i="23"/>
  <c r="L25" i="23"/>
  <c r="M25" i="23"/>
  <c r="N25" i="23"/>
  <c r="D26" i="23"/>
  <c r="E26" i="23"/>
  <c r="F26" i="23"/>
  <c r="G26" i="23"/>
  <c r="J26" i="23"/>
  <c r="K26" i="23"/>
  <c r="L26" i="23"/>
  <c r="M26" i="23"/>
  <c r="N26" i="23"/>
  <c r="D27" i="23"/>
  <c r="E27" i="23"/>
  <c r="F27" i="23"/>
  <c r="G27" i="23"/>
  <c r="H27" i="23"/>
  <c r="J27" i="23"/>
  <c r="K27" i="23"/>
  <c r="L27" i="23"/>
  <c r="M27" i="23"/>
  <c r="N27" i="23"/>
  <c r="C26" i="23"/>
  <c r="C27" i="23"/>
  <c r="K12" i="23"/>
  <c r="K11" i="23"/>
  <c r="K10" i="23"/>
  <c r="K9" i="23"/>
  <c r="K8" i="23"/>
  <c r="M19" i="23"/>
  <c r="M9" i="23"/>
  <c r="M10" i="23"/>
  <c r="M11" i="23"/>
  <c r="M12" i="23"/>
  <c r="M13" i="23"/>
  <c r="M14" i="23"/>
  <c r="M15" i="23"/>
  <c r="M16" i="23"/>
  <c r="M17" i="23"/>
  <c r="M18" i="23"/>
  <c r="M8" i="23"/>
  <c r="L19" i="23"/>
  <c r="L9" i="23"/>
  <c r="L10" i="23"/>
  <c r="L11" i="23"/>
  <c r="L12" i="23"/>
  <c r="L13" i="23"/>
  <c r="L14" i="23"/>
  <c r="L15" i="23"/>
  <c r="L16" i="23"/>
  <c r="L17" i="23"/>
  <c r="L18" i="23"/>
  <c r="L8" i="23"/>
  <c r="K17" i="23"/>
  <c r="K19" i="23"/>
  <c r="K13" i="23"/>
  <c r="K14" i="23"/>
  <c r="K15" i="23"/>
  <c r="K16" i="23"/>
  <c r="K18" i="23"/>
  <c r="D30" i="10"/>
  <c r="F23" i="10"/>
  <c r="F22" i="10"/>
  <c r="F21" i="10"/>
  <c r="F14" i="10"/>
  <c r="F13" i="10"/>
  <c r="F12" i="10"/>
  <c r="H32" i="34"/>
  <c r="H33" i="34"/>
  <c r="H34" i="34"/>
  <c r="H74" i="34"/>
  <c r="T48" i="29"/>
  <c r="T44" i="29"/>
  <c r="T56" i="29"/>
  <c r="L10" i="29"/>
  <c r="J13" i="29"/>
  <c r="K33" i="6" l="1"/>
  <c r="D35" i="6"/>
  <c r="F35" i="6" s="1"/>
  <c r="K25" i="6"/>
  <c r="K32" i="6"/>
  <c r="K29" i="6"/>
  <c r="K28" i="6"/>
  <c r="K31" i="6"/>
  <c r="K30" i="6"/>
  <c r="K27" i="6"/>
  <c r="K26" i="6"/>
  <c r="Q21" i="6"/>
  <c r="Q18" i="6"/>
  <c r="Q19" i="6"/>
  <c r="Q20" i="6"/>
  <c r="I46" i="29"/>
  <c r="I47" i="29"/>
  <c r="I48" i="29"/>
  <c r="I49" i="29"/>
  <c r="I50" i="29"/>
  <c r="I51" i="29"/>
  <c r="I52" i="29"/>
  <c r="I53" i="29"/>
  <c r="I54" i="29"/>
  <c r="I55" i="29"/>
  <c r="I56" i="29"/>
  <c r="I57" i="29"/>
  <c r="I58" i="29"/>
  <c r="I59" i="29"/>
  <c r="I60" i="29"/>
  <c r="I61" i="29"/>
  <c r="I62" i="29"/>
  <c r="I63" i="29"/>
  <c r="I45" i="29"/>
  <c r="M28" i="29"/>
  <c r="L28" i="29"/>
  <c r="D25" i="29"/>
  <c r="D24" i="29"/>
  <c r="D23" i="29"/>
  <c r="M21" i="29"/>
  <c r="L21" i="29"/>
  <c r="D22" i="29"/>
  <c r="E41" i="24"/>
  <c r="E40" i="24"/>
  <c r="E39" i="24"/>
  <c r="F18" i="24"/>
  <c r="H18" i="24" s="1"/>
  <c r="F17" i="24"/>
  <c r="H17" i="24" s="1"/>
  <c r="F16" i="24"/>
  <c r="H16" i="24" s="1"/>
  <c r="F15" i="24"/>
  <c r="H15" i="24" s="1"/>
  <c r="F14" i="24"/>
  <c r="H14" i="24" s="1"/>
  <c r="F13" i="24"/>
  <c r="H13" i="24" s="1"/>
  <c r="F12" i="24"/>
  <c r="H12" i="24" s="1"/>
  <c r="F11" i="24"/>
  <c r="H11" i="24" s="1"/>
  <c r="F10" i="24"/>
  <c r="H10" i="24" s="1"/>
  <c r="F9" i="24"/>
  <c r="H9" i="24" s="1"/>
  <c r="F8" i="24"/>
  <c r="H8" i="24" s="1"/>
  <c r="F7" i="24"/>
  <c r="H7" i="24" s="1"/>
  <c r="P17" i="33"/>
  <c r="P15" i="33"/>
  <c r="P14" i="33"/>
  <c r="P12" i="33"/>
  <c r="P11" i="33"/>
  <c r="P9" i="33"/>
  <c r="P8" i="33"/>
  <c r="P7" i="33"/>
  <c r="L9" i="7"/>
  <c r="L10" i="7"/>
  <c r="L11" i="7"/>
  <c r="L7" i="7"/>
  <c r="L8" i="7"/>
  <c r="L6" i="7"/>
  <c r="U12" i="16"/>
  <c r="V12" i="16"/>
  <c r="Q21" i="28"/>
  <c r="O21" i="28"/>
  <c r="N21" i="28"/>
  <c r="M21" i="28"/>
  <c r="L21" i="28"/>
  <c r="K21" i="28"/>
  <c r="J21" i="28"/>
  <c r="I21" i="28"/>
  <c r="H21" i="28"/>
  <c r="G21" i="28"/>
  <c r="F21" i="28"/>
  <c r="E21" i="28"/>
  <c r="D21" i="28"/>
  <c r="O20" i="28"/>
  <c r="N20" i="28"/>
  <c r="M20" i="28"/>
  <c r="L20" i="28"/>
  <c r="K20" i="28"/>
  <c r="J20" i="28"/>
  <c r="I20" i="28"/>
  <c r="H20" i="28"/>
  <c r="G20" i="28"/>
  <c r="F20" i="28"/>
  <c r="E20" i="28"/>
  <c r="D20" i="28"/>
  <c r="Q19" i="28"/>
  <c r="O19" i="28"/>
  <c r="N19" i="28"/>
  <c r="M19" i="28"/>
  <c r="L19" i="28"/>
  <c r="K19" i="28"/>
  <c r="J19" i="28"/>
  <c r="I19" i="28"/>
  <c r="H19" i="28"/>
  <c r="G19" i="28"/>
  <c r="F19" i="28"/>
  <c r="E19" i="28"/>
  <c r="D19" i="28"/>
  <c r="R17" i="28"/>
  <c r="D36" i="28" s="1"/>
  <c r="F36" i="28" s="1"/>
  <c r="Q17" i="28"/>
  <c r="R16" i="28"/>
  <c r="K34" i="28" s="1"/>
  <c r="Q16" i="28"/>
  <c r="R15" i="28"/>
  <c r="D34" i="28" s="1"/>
  <c r="F34" i="28" s="1"/>
  <c r="Q15" i="28"/>
  <c r="R14" i="28"/>
  <c r="K32" i="28" s="1"/>
  <c r="Q14" i="28"/>
  <c r="R13" i="28"/>
  <c r="D32" i="28" s="1"/>
  <c r="F32" i="28" s="1"/>
  <c r="Q13" i="28"/>
  <c r="R12" i="28"/>
  <c r="K30" i="28" s="1"/>
  <c r="Q12" i="28"/>
  <c r="R11" i="28"/>
  <c r="D30" i="28" s="1"/>
  <c r="F30" i="28" s="1"/>
  <c r="Q11" i="28"/>
  <c r="R10" i="28"/>
  <c r="K28" i="28" s="1"/>
  <c r="Q10" i="28"/>
  <c r="R9" i="28"/>
  <c r="D28" i="28" s="1"/>
  <c r="F28" i="28" s="1"/>
  <c r="Q9" i="28"/>
  <c r="R8" i="28"/>
  <c r="K26" i="28" s="1"/>
  <c r="Q8" i="28"/>
  <c r="Q20" i="28" s="1"/>
  <c r="G18" i="23"/>
  <c r="G16" i="23"/>
  <c r="J26" i="6"/>
  <c r="J27" i="6"/>
  <c r="J28" i="6"/>
  <c r="J29" i="6"/>
  <c r="J30" i="6"/>
  <c r="J31" i="6"/>
  <c r="J32" i="6"/>
  <c r="J33" i="6"/>
  <c r="J34" i="6"/>
  <c r="J25" i="6"/>
  <c r="C49" i="13"/>
  <c r="R8" i="13"/>
  <c r="D54" i="13" s="1"/>
  <c r="T61" i="29" l="1"/>
  <c r="H19" i="24"/>
  <c r="D27" i="28"/>
  <c r="F27" i="28" s="1"/>
  <c r="K27" i="28"/>
  <c r="D29" i="28"/>
  <c r="F29" i="28" s="1"/>
  <c r="K29" i="28"/>
  <c r="D31" i="28"/>
  <c r="F31" i="28" s="1"/>
  <c r="K31" i="28"/>
  <c r="D33" i="28"/>
  <c r="F33" i="28" s="1"/>
  <c r="K33" i="28"/>
  <c r="D35" i="28"/>
  <c r="F35" i="28" s="1"/>
  <c r="K35" i="28"/>
  <c r="Q18" i="28"/>
  <c r="J74" i="20"/>
  <c r="I74" i="20"/>
  <c r="J119" i="20"/>
  <c r="J160" i="20"/>
  <c r="I160" i="20"/>
  <c r="J118" i="20"/>
  <c r="I118" i="20"/>
  <c r="J117" i="20"/>
  <c r="I117" i="20"/>
  <c r="J116" i="20"/>
  <c r="I116" i="20"/>
  <c r="J64" i="20"/>
  <c r="I64" i="20"/>
  <c r="J115" i="20"/>
  <c r="I115" i="20"/>
  <c r="J114" i="20"/>
  <c r="I114" i="20"/>
  <c r="J113" i="20"/>
  <c r="I113" i="20"/>
  <c r="J47" i="20"/>
  <c r="I47" i="20"/>
  <c r="J46" i="20"/>
  <c r="I46" i="20"/>
  <c r="J112" i="20"/>
  <c r="I112" i="20"/>
  <c r="J111" i="20"/>
  <c r="I111" i="20"/>
  <c r="J110" i="20"/>
  <c r="I110" i="20"/>
  <c r="J45" i="20"/>
  <c r="I45" i="20"/>
  <c r="J109" i="20"/>
  <c r="I109" i="20"/>
  <c r="J108" i="20"/>
  <c r="I108" i="20"/>
  <c r="J107" i="20"/>
  <c r="I107" i="20"/>
  <c r="J106" i="20"/>
  <c r="I106" i="20"/>
  <c r="J82" i="20"/>
  <c r="I82" i="20"/>
  <c r="J59" i="20"/>
  <c r="I59" i="20"/>
  <c r="J22" i="20"/>
  <c r="I22" i="20"/>
  <c r="J53" i="20"/>
  <c r="I53" i="20"/>
  <c r="J21" i="20"/>
  <c r="I21" i="20"/>
  <c r="J20" i="20"/>
  <c r="I20" i="20"/>
  <c r="J19" i="20"/>
  <c r="I19" i="20"/>
  <c r="J18" i="20"/>
  <c r="I18" i="20"/>
  <c r="J52" i="20"/>
  <c r="I52" i="20"/>
  <c r="J17" i="20"/>
  <c r="I17" i="20"/>
  <c r="J16" i="20"/>
  <c r="I16" i="20"/>
  <c r="D12" i="16" l="1"/>
  <c r="D25" i="13"/>
  <c r="C39" i="13" s="1"/>
  <c r="F13" i="11" l="1"/>
  <c r="F15" i="11"/>
  <c r="F16" i="11"/>
  <c r="F17" i="11"/>
  <c r="F18" i="11"/>
  <c r="D14" i="16" l="1"/>
  <c r="D15" i="16"/>
  <c r="D16" i="16"/>
  <c r="D17" i="16"/>
  <c r="D18" i="16"/>
  <c r="R9" i="13" l="1"/>
  <c r="R10" i="13"/>
  <c r="R11" i="13"/>
  <c r="R12" i="13"/>
  <c r="R13" i="13"/>
  <c r="R14" i="13"/>
  <c r="R15" i="13"/>
  <c r="R16" i="13"/>
  <c r="R17" i="13"/>
  <c r="Q9" i="13"/>
  <c r="Q10" i="13"/>
  <c r="Q11" i="13"/>
  <c r="Q12" i="13"/>
  <c r="Q13" i="13"/>
  <c r="Q14" i="13"/>
  <c r="Q15" i="13"/>
  <c r="Q16" i="13"/>
  <c r="Q17" i="13"/>
  <c r="Q8" i="13"/>
  <c r="E21" i="13"/>
  <c r="F21" i="13"/>
  <c r="G21" i="13"/>
  <c r="H21" i="13"/>
  <c r="I21" i="13"/>
  <c r="J21" i="13"/>
  <c r="K21" i="13"/>
  <c r="L21" i="13"/>
  <c r="M21" i="13"/>
  <c r="N21" i="13"/>
  <c r="O21" i="13"/>
  <c r="E20" i="13"/>
  <c r="F20" i="13"/>
  <c r="G20" i="13"/>
  <c r="H20" i="13"/>
  <c r="I20" i="13"/>
  <c r="J20" i="13"/>
  <c r="K20" i="13"/>
  <c r="L20" i="13"/>
  <c r="M20" i="13"/>
  <c r="N20" i="13"/>
  <c r="O20" i="13"/>
  <c r="E19" i="13"/>
  <c r="F19" i="13"/>
  <c r="G19" i="13"/>
  <c r="H19" i="13"/>
  <c r="I19" i="13"/>
  <c r="J19" i="13"/>
  <c r="K19" i="13"/>
  <c r="L19" i="13"/>
  <c r="M19" i="13"/>
  <c r="N19" i="13"/>
  <c r="O19" i="13"/>
  <c r="D21" i="13"/>
  <c r="D20" i="13"/>
  <c r="D19" i="13"/>
  <c r="D62" i="13" l="1"/>
  <c r="D33" i="13"/>
  <c r="C47" i="13" s="1"/>
  <c r="D61" i="13"/>
  <c r="D32" i="13"/>
  <c r="C46" i="13" s="1"/>
  <c r="D60" i="13"/>
  <c r="D31" i="13"/>
  <c r="C45" i="13" s="1"/>
  <c r="D63" i="13"/>
  <c r="D34" i="13"/>
  <c r="C48" i="13" s="1"/>
  <c r="D59" i="13"/>
  <c r="D30" i="13"/>
  <c r="C44" i="13" s="1"/>
  <c r="D58" i="13"/>
  <c r="D29" i="13"/>
  <c r="C43" i="13" s="1"/>
  <c r="D28" i="13"/>
  <c r="C42" i="13" s="1"/>
  <c r="D57" i="13"/>
  <c r="D27" i="13"/>
  <c r="C41" i="13" s="1"/>
  <c r="D56" i="13"/>
  <c r="D26" i="13"/>
  <c r="C40" i="13" s="1"/>
  <c r="D55" i="13"/>
  <c r="Q21" i="13"/>
  <c r="Q19" i="13"/>
  <c r="Q20" i="13"/>
  <c r="Q18" i="13"/>
  <c r="I13" i="33" l="1"/>
  <c r="N13" i="33"/>
  <c r="K13" i="33"/>
  <c r="K16" i="33" s="1"/>
  <c r="N16" i="33"/>
  <c r="J13" i="33"/>
  <c r="G13" i="33"/>
  <c r="J16" i="33"/>
  <c r="G16" i="33"/>
  <c r="F13" i="33"/>
  <c r="I16" i="33" l="1"/>
  <c r="F16" i="33"/>
  <c r="O13" i="33"/>
  <c r="O16" i="33" s="1"/>
  <c r="D13" i="33"/>
  <c r="D16" i="33" s="1"/>
  <c r="M13" i="33"/>
  <c r="M16" i="33" s="1"/>
  <c r="L13" i="33"/>
  <c r="L16" i="33" s="1"/>
  <c r="E13" i="33"/>
  <c r="E16" i="33" s="1"/>
  <c r="H13" i="33"/>
  <c r="H16" i="33" s="1"/>
  <c r="P13" i="33" l="1"/>
  <c r="P16" i="33"/>
  <c r="F10" i="33" l="1"/>
  <c r="F18" i="33" s="1"/>
  <c r="G10" i="33"/>
  <c r="I10" i="33"/>
  <c r="I18" i="33" s="1"/>
  <c r="J10" i="33"/>
  <c r="K10" i="33"/>
  <c r="N10" i="33"/>
  <c r="N18" i="33"/>
  <c r="K18" i="33"/>
  <c r="J18" i="33"/>
  <c r="J19" i="33" l="1"/>
  <c r="N19" i="33"/>
  <c r="G18" i="33"/>
  <c r="G19" i="33" s="1"/>
  <c r="K19" i="33"/>
  <c r="I19" i="33"/>
  <c r="F19" i="33"/>
  <c r="D10" i="33"/>
  <c r="E10" i="33"/>
  <c r="E18" i="33" s="1"/>
  <c r="E19" i="33" s="1"/>
  <c r="H10" i="33"/>
  <c r="H18" i="33" s="1"/>
  <c r="L10" i="33"/>
  <c r="L18" i="33" s="1"/>
  <c r="M10" i="33"/>
  <c r="M18" i="33" s="1"/>
  <c r="O10" i="33"/>
  <c r="O18" i="33" s="1"/>
  <c r="O19" i="33" s="1"/>
  <c r="L19" i="33" l="1"/>
  <c r="P10" i="33"/>
  <c r="D18" i="33"/>
  <c r="D19" i="33" s="1"/>
  <c r="H19" i="33"/>
  <c r="M19" i="33"/>
  <c r="P18" i="33" l="1"/>
  <c r="P19" i="3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December!$E$5:$F$11" type="102" refreshedVersion="6" minRefreshableVersion="5">
    <extLst>
      <ext xmlns:x15="http://schemas.microsoft.com/office/spreadsheetml/2010/11/main" uri="{DE250136-89BD-433C-8126-D09CA5730AF9}">
        <x15:connection id="Range">
          <x15:rangePr sourceName="_xlcn.WorksheetConnection_DecemberE5F111"/>
        </x15:connection>
      </ext>
    </extLst>
  </connection>
</connections>
</file>

<file path=xl/sharedStrings.xml><?xml version="1.0" encoding="utf-8"?>
<sst xmlns="http://schemas.openxmlformats.org/spreadsheetml/2006/main" count="1460" uniqueCount="500">
  <si>
    <t>Maximum:</t>
  </si>
  <si>
    <t>Minimum:</t>
  </si>
  <si>
    <t>April</t>
  </si>
  <si>
    <t>May</t>
  </si>
  <si>
    <t>June</t>
  </si>
  <si>
    <t>July</t>
  </si>
  <si>
    <t>August</t>
  </si>
  <si>
    <t>September</t>
  </si>
  <si>
    <t>October</t>
  </si>
  <si>
    <t>November</t>
  </si>
  <si>
    <t>December</t>
  </si>
  <si>
    <t>January</t>
  </si>
  <si>
    <t>February</t>
  </si>
  <si>
    <t>March</t>
  </si>
  <si>
    <t>Average:</t>
  </si>
  <si>
    <t>Total Goals:</t>
  </si>
  <si>
    <t>Goals per player:</t>
  </si>
  <si>
    <t xml:space="preserve">Average: </t>
  </si>
  <si>
    <t>Achieving standard</t>
  </si>
  <si>
    <t>Mike</t>
  </si>
  <si>
    <t>Steve</t>
  </si>
  <si>
    <t>Linda</t>
  </si>
  <si>
    <t>Angela</t>
  </si>
  <si>
    <t>Peter</t>
  </si>
  <si>
    <t>Vikus</t>
  </si>
  <si>
    <t>Warrick</t>
  </si>
  <si>
    <t>Richard</t>
  </si>
  <si>
    <t>Rachael</t>
  </si>
  <si>
    <t>Meline</t>
  </si>
  <si>
    <t>Total</t>
  </si>
  <si>
    <t xml:space="preserve">Welcome to the…. </t>
  </si>
  <si>
    <t>Main Workbook</t>
  </si>
  <si>
    <t>Less than</t>
  </si>
  <si>
    <t xml:space="preserve">Greater than </t>
  </si>
  <si>
    <t>Less than or Equal to</t>
  </si>
  <si>
    <t>Greater than or equal to</t>
  </si>
  <si>
    <t>&gt;</t>
  </si>
  <si>
    <t>&lt;</t>
  </si>
  <si>
    <t>&lt;=</t>
  </si>
  <si>
    <t>&gt;=</t>
  </si>
  <si>
    <t>Apples</t>
  </si>
  <si>
    <t>Bananas</t>
  </si>
  <si>
    <t>Grapes</t>
  </si>
  <si>
    <t>Equal to</t>
  </si>
  <si>
    <t>"="</t>
  </si>
  <si>
    <t>The 'Concatenate' Function</t>
  </si>
  <si>
    <t xml:space="preserve">Average GOALS </t>
  </si>
  <si>
    <t>Goals per player</t>
  </si>
  <si>
    <t xml:space="preserve"> </t>
  </si>
  <si>
    <t>Names</t>
  </si>
  <si>
    <t>The 'VLOOKUP' Function</t>
  </si>
  <si>
    <t>Sam</t>
  </si>
  <si>
    <t>Emma</t>
  </si>
  <si>
    <t>Bill</t>
  </si>
  <si>
    <t>Samson</t>
  </si>
  <si>
    <t>Graham</t>
  </si>
  <si>
    <t>Lily</t>
  </si>
  <si>
    <t>Orange</t>
  </si>
  <si>
    <t>Blue</t>
  </si>
  <si>
    <t>Green</t>
  </si>
  <si>
    <t>Red</t>
  </si>
  <si>
    <t>Purple</t>
  </si>
  <si>
    <t>Brown</t>
  </si>
  <si>
    <t>Pink</t>
  </si>
  <si>
    <t>Name</t>
  </si>
  <si>
    <t>Number</t>
  </si>
  <si>
    <t>City</t>
  </si>
  <si>
    <t>ID CODE</t>
  </si>
  <si>
    <t>SamL</t>
  </si>
  <si>
    <t>PeterG</t>
  </si>
  <si>
    <t>SandraL</t>
  </si>
  <si>
    <t>EmmaH</t>
  </si>
  <si>
    <t>BobP</t>
  </si>
  <si>
    <t>RichardD</t>
  </si>
  <si>
    <t>SammyS</t>
  </si>
  <si>
    <t>Paris</t>
  </si>
  <si>
    <t>London</t>
  </si>
  <si>
    <t>Moscow</t>
  </si>
  <si>
    <t>Sofia</t>
  </si>
  <si>
    <t>Rome</t>
  </si>
  <si>
    <t>Berlin</t>
  </si>
  <si>
    <t>Dubai</t>
  </si>
  <si>
    <t>Pears</t>
  </si>
  <si>
    <t>Kiwis</t>
  </si>
  <si>
    <t>Melons</t>
  </si>
  <si>
    <t>Pineapple</t>
  </si>
  <si>
    <t>Sales Person</t>
  </si>
  <si>
    <t>Region</t>
  </si>
  <si>
    <t>Beds</t>
  </si>
  <si>
    <t>Dining Table</t>
  </si>
  <si>
    <t>Chair</t>
  </si>
  <si>
    <t>Foot stool</t>
  </si>
  <si>
    <t>Sub Total</t>
  </si>
  <si>
    <t xml:space="preserve">Austin </t>
  </si>
  <si>
    <t>East</t>
  </si>
  <si>
    <t xml:space="preserve">Alton </t>
  </si>
  <si>
    <t>West</t>
  </si>
  <si>
    <t xml:space="preserve">Willie </t>
  </si>
  <si>
    <t xml:space="preserve">Ida </t>
  </si>
  <si>
    <t>South</t>
  </si>
  <si>
    <t xml:space="preserve">Phil </t>
  </si>
  <si>
    <t xml:space="preserve">Virgil </t>
  </si>
  <si>
    <t xml:space="preserve">Kendra </t>
  </si>
  <si>
    <t xml:space="preserve">Faye </t>
  </si>
  <si>
    <t xml:space="preserve">Naomi </t>
  </si>
  <si>
    <t>Baily</t>
  </si>
  <si>
    <t>Daniel</t>
  </si>
  <si>
    <t>Burgess</t>
  </si>
  <si>
    <t>North</t>
  </si>
  <si>
    <t>Chandler</t>
  </si>
  <si>
    <t>Berry</t>
  </si>
  <si>
    <t>Cole</t>
  </si>
  <si>
    <t>Evans</t>
  </si>
  <si>
    <t xml:space="preserve">Rick </t>
  </si>
  <si>
    <t xml:space="preserve">Cassandra </t>
  </si>
  <si>
    <t xml:space="preserve">Lynne </t>
  </si>
  <si>
    <t xml:space="preserve">Tom </t>
  </si>
  <si>
    <t xml:space="preserve">Clyde </t>
  </si>
  <si>
    <t xml:space="preserve">Christine </t>
  </si>
  <si>
    <t xml:space="preserve">Archie </t>
  </si>
  <si>
    <t xml:space="preserve">Mitchell </t>
  </si>
  <si>
    <t xml:space="preserve">Cora </t>
  </si>
  <si>
    <t xml:space="preserve">Estelle </t>
  </si>
  <si>
    <t xml:space="preserve">Bonnie </t>
  </si>
  <si>
    <t xml:space="preserve">Olivia </t>
  </si>
  <si>
    <t xml:space="preserve">Hilda </t>
  </si>
  <si>
    <t xml:space="preserve">Marcos </t>
  </si>
  <si>
    <t>Ruiz</t>
  </si>
  <si>
    <t>Riley</t>
  </si>
  <si>
    <t>Simon</t>
  </si>
  <si>
    <t>Lambert</t>
  </si>
  <si>
    <t>Obrien</t>
  </si>
  <si>
    <t>Anderson</t>
  </si>
  <si>
    <t>Welch</t>
  </si>
  <si>
    <t>Conner</t>
  </si>
  <si>
    <t>Carter</t>
  </si>
  <si>
    <t>Gilbert</t>
  </si>
  <si>
    <t>Ray</t>
  </si>
  <si>
    <t>Pratt</t>
  </si>
  <si>
    <t>Phillips</t>
  </si>
  <si>
    <t>Barber</t>
  </si>
  <si>
    <t>Henderson</t>
  </si>
  <si>
    <t>Javier</t>
  </si>
  <si>
    <t xml:space="preserve">Kerry </t>
  </si>
  <si>
    <t>Wood</t>
  </si>
  <si>
    <t>Nash</t>
  </si>
  <si>
    <t>Gutierrez</t>
  </si>
  <si>
    <t>Casey</t>
  </si>
  <si>
    <t xml:space="preserve">Enrique </t>
  </si>
  <si>
    <t xml:space="preserve">Paulette </t>
  </si>
  <si>
    <t>Smith</t>
  </si>
  <si>
    <t>Carson</t>
  </si>
  <si>
    <t>Colon</t>
  </si>
  <si>
    <t>Luna</t>
  </si>
  <si>
    <t xml:space="preserve">Marvin </t>
  </si>
  <si>
    <t>Orlando</t>
  </si>
  <si>
    <t xml:space="preserve">Catherine </t>
  </si>
  <si>
    <t xml:space="preserve">Desiree </t>
  </si>
  <si>
    <t xml:space="preserve">Leslie </t>
  </si>
  <si>
    <t xml:space="preserve">Darlene </t>
  </si>
  <si>
    <t xml:space="preserve">Joseph </t>
  </si>
  <si>
    <t xml:space="preserve">Earnest </t>
  </si>
  <si>
    <t xml:space="preserve">Larry </t>
  </si>
  <si>
    <t xml:space="preserve">Ted </t>
  </si>
  <si>
    <t xml:space="preserve">Kate </t>
  </si>
  <si>
    <t xml:space="preserve">Bernadette </t>
  </si>
  <si>
    <t xml:space="preserve">Angela </t>
  </si>
  <si>
    <t xml:space="preserve">Cecil </t>
  </si>
  <si>
    <t xml:space="preserve">Fredrick </t>
  </si>
  <si>
    <t xml:space="preserve">Randy </t>
  </si>
  <si>
    <t xml:space="preserve">Nancy </t>
  </si>
  <si>
    <t>Garner</t>
  </si>
  <si>
    <t>Chambers</t>
  </si>
  <si>
    <t>Farmer</t>
  </si>
  <si>
    <t>Williams</t>
  </si>
  <si>
    <t>Andrews</t>
  </si>
  <si>
    <t>Davis</t>
  </si>
  <si>
    <t>Schneider</t>
  </si>
  <si>
    <t>Lowe</t>
  </si>
  <si>
    <t>Hodges</t>
  </si>
  <si>
    <t>Vasquez</t>
  </si>
  <si>
    <t>Swanson</t>
  </si>
  <si>
    <t>Freeman</t>
  </si>
  <si>
    <t>Collier</t>
  </si>
  <si>
    <t>Morrison</t>
  </si>
  <si>
    <t>Curtis</t>
  </si>
  <si>
    <t>Newton</t>
  </si>
  <si>
    <t>Crawford</t>
  </si>
  <si>
    <t xml:space="preserve">Arnold </t>
  </si>
  <si>
    <t xml:space="preserve">Adam </t>
  </si>
  <si>
    <t xml:space="preserve">Joanne </t>
  </si>
  <si>
    <t xml:space="preserve">Virginia </t>
  </si>
  <si>
    <t xml:space="preserve">Renee </t>
  </si>
  <si>
    <t xml:space="preserve">Lena </t>
  </si>
  <si>
    <t xml:space="preserve">Elena </t>
  </si>
  <si>
    <t xml:space="preserve">Kellie </t>
  </si>
  <si>
    <t xml:space="preserve">Fred </t>
  </si>
  <si>
    <t xml:space="preserve">Roland </t>
  </si>
  <si>
    <t xml:space="preserve">Cathy </t>
  </si>
  <si>
    <t xml:space="preserve">Russell </t>
  </si>
  <si>
    <t xml:space="preserve">Wilfred </t>
  </si>
  <si>
    <t xml:space="preserve">Erin </t>
  </si>
  <si>
    <t xml:space="preserve">Joan </t>
  </si>
  <si>
    <t xml:space="preserve">Anthony </t>
  </si>
  <si>
    <t xml:space="preserve">Ruby </t>
  </si>
  <si>
    <t xml:space="preserve">Shelley </t>
  </si>
  <si>
    <t xml:space="preserve">Erick </t>
  </si>
  <si>
    <t xml:space="preserve">Joel </t>
  </si>
  <si>
    <t xml:space="preserve">Patrick </t>
  </si>
  <si>
    <t xml:space="preserve">Bennie </t>
  </si>
  <si>
    <t xml:space="preserve">Bradford </t>
  </si>
  <si>
    <t xml:space="preserve">Rafael </t>
  </si>
  <si>
    <t xml:space="preserve">Rudy </t>
  </si>
  <si>
    <t xml:space="preserve">Lela </t>
  </si>
  <si>
    <t xml:space="preserve">Ginger </t>
  </si>
  <si>
    <t xml:space="preserve">Tamara </t>
  </si>
  <si>
    <t xml:space="preserve">Leticia </t>
  </si>
  <si>
    <t xml:space="preserve">Jeanette </t>
  </si>
  <si>
    <t xml:space="preserve">Gerard </t>
  </si>
  <si>
    <t>Kelley</t>
  </si>
  <si>
    <t>Robinson</t>
  </si>
  <si>
    <t>Alvarez</t>
  </si>
  <si>
    <t>Foster</t>
  </si>
  <si>
    <t>Medina</t>
  </si>
  <si>
    <t>Sutton</t>
  </si>
  <si>
    <t>Walsh</t>
  </si>
  <si>
    <t>Mcdonald</t>
  </si>
  <si>
    <t>Lewis</t>
  </si>
  <si>
    <t>Simmons</t>
  </si>
  <si>
    <t>Sanchez</t>
  </si>
  <si>
    <t>Hudson</t>
  </si>
  <si>
    <t>Mckinney</t>
  </si>
  <si>
    <t>Bowen</t>
  </si>
  <si>
    <t>Warren</t>
  </si>
  <si>
    <t>Rodriquez</t>
  </si>
  <si>
    <t>Cruz</t>
  </si>
  <si>
    <t>Jordan</t>
  </si>
  <si>
    <t>Campbell</t>
  </si>
  <si>
    <t>Butler</t>
  </si>
  <si>
    <t>Massey</t>
  </si>
  <si>
    <t>Pena</t>
  </si>
  <si>
    <t>Moody</t>
  </si>
  <si>
    <t>Banks</t>
  </si>
  <si>
    <t>Jones</t>
  </si>
  <si>
    <t>Russell</t>
  </si>
  <si>
    <t>Castillo</t>
  </si>
  <si>
    <t>Bowman</t>
  </si>
  <si>
    <t>Neal</t>
  </si>
  <si>
    <t xml:space="preserve">Marie </t>
  </si>
  <si>
    <t xml:space="preserve">Jacob </t>
  </si>
  <si>
    <t>Spencer</t>
  </si>
  <si>
    <t xml:space="preserve">Craig </t>
  </si>
  <si>
    <t>Noth</t>
  </si>
  <si>
    <t xml:space="preserve">Ron </t>
  </si>
  <si>
    <t>Hogan</t>
  </si>
  <si>
    <t xml:space="preserve">Relative Reference,    Absolute Reference,    Mixed Reference </t>
  </si>
  <si>
    <t>Units sold</t>
  </si>
  <si>
    <t xml:space="preserve">Gross Revenue </t>
  </si>
  <si>
    <t>Month</t>
  </si>
  <si>
    <t>Cars</t>
  </si>
  <si>
    <t>Motorcycles</t>
  </si>
  <si>
    <t xml:space="preserve">Bicycles </t>
  </si>
  <si>
    <t>Total Goals and Performance 2020</t>
  </si>
  <si>
    <t>Concatenate players details</t>
  </si>
  <si>
    <t>Cocatenate Players details</t>
  </si>
  <si>
    <t>Average goals</t>
  </si>
  <si>
    <t>Column1</t>
  </si>
  <si>
    <t>Mercedez</t>
  </si>
  <si>
    <t>BMV</t>
  </si>
  <si>
    <t>Mazder</t>
  </si>
  <si>
    <t>Rollz Roic</t>
  </si>
  <si>
    <t>Land roller</t>
  </si>
  <si>
    <t>Audee</t>
  </si>
  <si>
    <t>Opal</t>
  </si>
  <si>
    <t>Sitroen</t>
  </si>
  <si>
    <t>Model</t>
  </si>
  <si>
    <t>Total Revenue</t>
  </si>
  <si>
    <t>Car</t>
  </si>
  <si>
    <t>ID CODE with space</t>
  </si>
  <si>
    <t>Simplify and add spaces</t>
  </si>
  <si>
    <t>Rent</t>
  </si>
  <si>
    <t>Electricity</t>
  </si>
  <si>
    <t>Gas</t>
  </si>
  <si>
    <t>Water</t>
  </si>
  <si>
    <t>Council Tax</t>
  </si>
  <si>
    <t>Pet</t>
  </si>
  <si>
    <t>Shrares</t>
  </si>
  <si>
    <t>Other</t>
  </si>
  <si>
    <t>Finance</t>
  </si>
  <si>
    <t>Total:</t>
  </si>
  <si>
    <t>Mininum:</t>
  </si>
  <si>
    <t xml:space="preserve">Income  </t>
  </si>
  <si>
    <t>Bills</t>
  </si>
  <si>
    <t>Net Total:</t>
  </si>
  <si>
    <t>Year</t>
  </si>
  <si>
    <t>cc</t>
  </si>
  <si>
    <t>Sub-Totaling Data</t>
  </si>
  <si>
    <t>Merc</t>
  </si>
  <si>
    <t>TYTA</t>
  </si>
  <si>
    <t>Reno</t>
  </si>
  <si>
    <t>Lambo</t>
  </si>
  <si>
    <t>Mitshibish</t>
  </si>
  <si>
    <t>Lex</t>
  </si>
  <si>
    <t>Datson</t>
  </si>
  <si>
    <t>Furd</t>
  </si>
  <si>
    <t>Engine size</t>
  </si>
  <si>
    <t>Make</t>
  </si>
  <si>
    <t>Doors</t>
  </si>
  <si>
    <t>MPG</t>
  </si>
  <si>
    <t>3500cc</t>
  </si>
  <si>
    <t>4000cc</t>
  </si>
  <si>
    <t>1600cc</t>
  </si>
  <si>
    <t>1655cc</t>
  </si>
  <si>
    <t>1995cc</t>
  </si>
  <si>
    <t>4200cc</t>
  </si>
  <si>
    <t>6500cc</t>
  </si>
  <si>
    <t>2000cc</t>
  </si>
  <si>
    <t>2500cc</t>
  </si>
  <si>
    <t>3000cc</t>
  </si>
  <si>
    <t>1000cc</t>
  </si>
  <si>
    <t>Look up Engine size</t>
  </si>
  <si>
    <t>Look up Doors</t>
  </si>
  <si>
    <t>Look up MPG</t>
  </si>
  <si>
    <t>Look up Year</t>
  </si>
  <si>
    <t>Cost</t>
  </si>
  <si>
    <t>Sum:</t>
  </si>
  <si>
    <t>Max:</t>
  </si>
  <si>
    <t>Min:</t>
  </si>
  <si>
    <t>Count:</t>
  </si>
  <si>
    <t>CountA:</t>
  </si>
  <si>
    <t>CountIF:</t>
  </si>
  <si>
    <t>CountBlank:</t>
  </si>
  <si>
    <t>Price</t>
  </si>
  <si>
    <t>Bicycle hill blaster 12</t>
  </si>
  <si>
    <t>Bicycle hill blaster 18</t>
  </si>
  <si>
    <t>Bicycle hill blaster 32</t>
  </si>
  <si>
    <t>Bicycle models</t>
  </si>
  <si>
    <t>Bicycle hill blaster 50</t>
  </si>
  <si>
    <t>Bicycle hill blaster 56</t>
  </si>
  <si>
    <t>Bicycle hill blaster 41</t>
  </si>
  <si>
    <t>Total Excluding VAT</t>
  </si>
  <si>
    <r>
      <t>Tax (</t>
    </r>
    <r>
      <rPr>
        <sz val="11"/>
        <color theme="1"/>
        <rFont val="Calibri"/>
        <family val="2"/>
        <scheme val="minor"/>
      </rPr>
      <t>W</t>
    </r>
    <r>
      <rPr>
        <b/>
        <sz val="11"/>
        <color theme="1"/>
        <rFont val="Calibri"/>
        <family val="2"/>
        <scheme val="minor"/>
      </rPr>
      <t>ith Sum Func):</t>
    </r>
  </si>
  <si>
    <t>Tax (Point &amp; click):</t>
  </si>
  <si>
    <t>MaxA</t>
  </si>
  <si>
    <t>MinA</t>
  </si>
  <si>
    <t>SumIF</t>
  </si>
  <si>
    <t>AverageIF</t>
  </si>
  <si>
    <t>SumIFS</t>
  </si>
  <si>
    <t>AverageIFS</t>
  </si>
  <si>
    <t>Adds the cells specified by a given condition or criteria</t>
  </si>
  <si>
    <t>Adds the cells specified by a given set of conditions or criteria</t>
  </si>
  <si>
    <t>AverageA</t>
  </si>
  <si>
    <t>Returns the value (Arithmetic mean) of its arguments, evaluating text and FALSE in arguments</t>
  </si>
  <si>
    <t>Finds average (Arithmetic mean) for the cells specified by a given condition or criteria</t>
  </si>
  <si>
    <t>Finds average (Arithmetic mean) for the cells specified by a given set of conditions or criteria</t>
  </si>
  <si>
    <t>CountA</t>
  </si>
  <si>
    <t>Counts the number of cells in a range that are not empty</t>
  </si>
  <si>
    <t>CountBLANK</t>
  </si>
  <si>
    <t xml:space="preserve">Counts the number of empty cells in a specified range of cells </t>
  </si>
  <si>
    <t>CountIFS</t>
  </si>
  <si>
    <t>Counts the number of cells specified by a given set of conditions or criteria</t>
  </si>
  <si>
    <t>Returns the largest value in a set of values. Does not ignore logical values and text</t>
  </si>
  <si>
    <t>MaxIFS</t>
  </si>
  <si>
    <t>Returns the smallest value in a set of values. Does not ignore logical values and text</t>
  </si>
  <si>
    <t>MinIFS</t>
  </si>
  <si>
    <t>Returns the minimum value amoung cells specified by a given set of condotions or criteria</t>
  </si>
  <si>
    <t xml:space="preserve">Returns the maximum among cells specified by a given set of conditions or criteria </t>
  </si>
  <si>
    <t>v</t>
  </si>
  <si>
    <t>Inventory</t>
  </si>
  <si>
    <t xml:space="preserve">Mercedes </t>
  </si>
  <si>
    <t>Value</t>
  </si>
  <si>
    <t>OTRP</t>
  </si>
  <si>
    <t>Marque</t>
  </si>
  <si>
    <t>E-class</t>
  </si>
  <si>
    <t>A-class</t>
  </si>
  <si>
    <t>M-class</t>
  </si>
  <si>
    <t>S-class</t>
  </si>
  <si>
    <t>Class</t>
  </si>
  <si>
    <t>SumIfs</t>
  </si>
  <si>
    <t>AverageIfs</t>
  </si>
  <si>
    <t>UNIT PRICE</t>
  </si>
  <si>
    <t>MENU ITEM</t>
  </si>
  <si>
    <t>QUANTITY</t>
  </si>
  <si>
    <t>SALES TAX</t>
  </si>
  <si>
    <t>LINE TOTAL</t>
  </si>
  <si>
    <t>TAX RATE (%)</t>
  </si>
  <si>
    <t>Chicken Fillet</t>
  </si>
  <si>
    <t>Large Pizza</t>
  </si>
  <si>
    <t>Medium Pizza</t>
  </si>
  <si>
    <t>Small Pizza</t>
  </si>
  <si>
    <t>Fries</t>
  </si>
  <si>
    <t>Chicken wings</t>
  </si>
  <si>
    <t>Mac and Cheese</t>
  </si>
  <si>
    <t>Unit Price</t>
  </si>
  <si>
    <t>eBay profit loss</t>
  </si>
  <si>
    <t>Y-T-D TOTAL</t>
  </si>
  <si>
    <t>Sold Price</t>
  </si>
  <si>
    <t>Shipping Price (Excluded)</t>
  </si>
  <si>
    <t>Insurance Charge</t>
  </si>
  <si>
    <t>Sales</t>
  </si>
  <si>
    <t>Item cost</t>
  </si>
  <si>
    <t>Shipping cost</t>
  </si>
  <si>
    <t>Expenses</t>
  </si>
  <si>
    <t>Insertion fees</t>
  </si>
  <si>
    <t>eBay Fees</t>
  </si>
  <si>
    <t>Fees</t>
  </si>
  <si>
    <t>Insurance Claims</t>
  </si>
  <si>
    <t>TOTAL Profit</t>
  </si>
  <si>
    <t>Profit loss</t>
  </si>
  <si>
    <t>Tax (20%)</t>
  </si>
  <si>
    <t>Monthly Income</t>
  </si>
  <si>
    <t xml:space="preserve">December (2021) Expenses </t>
  </si>
  <si>
    <t>Monthly Income After Tax (2021)</t>
  </si>
  <si>
    <t xml:space="preserve">Answer here </t>
  </si>
  <si>
    <t>Answer here</t>
  </si>
  <si>
    <t>Basic formula writing</t>
  </si>
  <si>
    <t>Students</t>
  </si>
  <si>
    <t>Average per apartment</t>
  </si>
  <si>
    <t>Apartments</t>
  </si>
  <si>
    <t>Pay</t>
  </si>
  <si>
    <t>Total people</t>
  </si>
  <si>
    <t>Months total</t>
  </si>
  <si>
    <t>Total pay received</t>
  </si>
  <si>
    <t>Tax %</t>
  </si>
  <si>
    <t>Total after tax</t>
  </si>
  <si>
    <t>Pencils</t>
  </si>
  <si>
    <t>Rubbers</t>
  </si>
  <si>
    <t>Paper</t>
  </si>
  <si>
    <t>Total cost</t>
  </si>
  <si>
    <t>20% Value Added Tax</t>
  </si>
  <si>
    <t>Vehicles</t>
  </si>
  <si>
    <t>Answer</t>
  </si>
  <si>
    <t>Examples</t>
  </si>
  <si>
    <t>TRUE=1</t>
  </si>
  <si>
    <t>FALSE=0</t>
  </si>
  <si>
    <t>E-class. All Model Years</t>
  </si>
  <si>
    <t>A-class. All Model Years</t>
  </si>
  <si>
    <t>A-class. 2022 Model</t>
  </si>
  <si>
    <t>A-class. 2021 Model</t>
  </si>
  <si>
    <t>Exercise</t>
  </si>
  <si>
    <t>CountIfs</t>
  </si>
  <si>
    <t>E-class. 2022 Model</t>
  </si>
  <si>
    <t>M-class. 2021 Model</t>
  </si>
  <si>
    <t>A-class. 2022 Model Years</t>
  </si>
  <si>
    <t>Mercedes Inventory</t>
  </si>
  <si>
    <t xml:space="preserve">S-class. 2022 Model </t>
  </si>
  <si>
    <t>E-class. 2021 Model Years</t>
  </si>
  <si>
    <t xml:space="preserve">S-class. 2021 Model </t>
  </si>
  <si>
    <t xml:space="preserve">A-class. 2022 Model </t>
  </si>
  <si>
    <t>Model Year</t>
  </si>
  <si>
    <t>M-class. All Model Years</t>
  </si>
  <si>
    <t>Text CountIf:</t>
  </si>
  <si>
    <t>The "IF", "And", "or" functions</t>
  </si>
  <si>
    <t xml:space="preserve">Score 1 </t>
  </si>
  <si>
    <t xml:space="preserve">Score 2 </t>
  </si>
  <si>
    <t>Result</t>
  </si>
  <si>
    <t>Bob</t>
  </si>
  <si>
    <t>Sarah</t>
  </si>
  <si>
    <t>Ben</t>
  </si>
  <si>
    <t>Tom</t>
  </si>
  <si>
    <t>Andrew</t>
  </si>
  <si>
    <t>Olivia</t>
  </si>
  <si>
    <t>Alice</t>
  </si>
  <si>
    <t>William</t>
  </si>
  <si>
    <t>Requirement:</t>
  </si>
  <si>
    <t>Deadline (Days)</t>
  </si>
  <si>
    <t>Sales Target</t>
  </si>
  <si>
    <t>Sales Total</t>
  </si>
  <si>
    <t>Example</t>
  </si>
  <si>
    <t>Example:</t>
  </si>
  <si>
    <t>"IF","AND","OR" functions COMBINED</t>
  </si>
  <si>
    <t xml:space="preserve">"IF","AND", function </t>
  </si>
  <si>
    <t xml:space="preserve">The "IF","OR", function </t>
  </si>
  <si>
    <t xml:space="preserve">The "IF","AND", function </t>
  </si>
  <si>
    <t>Yield January (T)</t>
  </si>
  <si>
    <t>Yield Fabruary (T)</t>
  </si>
  <si>
    <t>Yield March (T)</t>
  </si>
  <si>
    <t>Yield April (T)</t>
  </si>
  <si>
    <t>Result (Tonnes)</t>
  </si>
  <si>
    <t>Petty Farm</t>
  </si>
  <si>
    <t>Sams Farm</t>
  </si>
  <si>
    <t>Bindi Farm</t>
  </si>
  <si>
    <t>Flowers Farm</t>
  </si>
  <si>
    <t>Fanhill Farm</t>
  </si>
  <si>
    <t>Frog Farm</t>
  </si>
  <si>
    <t>Badger Farm</t>
  </si>
  <si>
    <t>Tims Farm</t>
  </si>
  <si>
    <t>The IF Function</t>
  </si>
  <si>
    <t>IF Function Exercise</t>
  </si>
  <si>
    <t>Target revenue:</t>
  </si>
  <si>
    <t>Target achieved</t>
  </si>
  <si>
    <t>hello</t>
  </si>
  <si>
    <t>LaMBo</t>
  </si>
  <si>
    <t>red</t>
  </si>
  <si>
    <t>Grand Total</t>
  </si>
  <si>
    <t>East Total</t>
  </si>
  <si>
    <t>North Total</t>
  </si>
  <si>
    <t>Noth Total</t>
  </si>
  <si>
    <t>South Total</t>
  </si>
  <si>
    <t>West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</si>
</sst>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809]* #,##0.00_-;\-[$£-809]* #,##0.00_-;_-[$£-809]* &quot;-&quot;??_-;_-@_-"/>
    <numFmt numFmtId="165" formatCode="&quot;£&quot;#,##0.00"/>
    <numFmt numFmtId="166" formatCode="&quot;$&quot;#,##0.00"/>
    <numFmt numFmtId="167" formatCode="[$£-809]#,##0.00"/>
    <numFmt numFmtId="168" formatCode="[$$-409]#,##0.00"/>
    <numFmt numFmtId="169" formatCode="&quot;₹&quot;\ #,##0.00"/>
  </numFmts>
  <fonts count="38" x14ac:knownFonts="1">
    <font>
      <sz val="11"/>
      <color theme="1"/>
      <name val="Calibri"/>
      <family val="2"/>
      <scheme val="minor"/>
    </font>
    <font>
      <b/>
      <sz val="11"/>
      <color theme="1"/>
      <name val="Calibri"/>
      <family val="2"/>
      <scheme val="minor"/>
    </font>
    <font>
      <sz val="11"/>
      <color rgb="FF006100"/>
      <name val="Calibri"/>
      <family val="2"/>
      <scheme val="minor"/>
    </font>
    <font>
      <sz val="11"/>
      <color theme="0"/>
      <name val="Calibri"/>
      <family val="2"/>
      <scheme val="minor"/>
    </font>
    <font>
      <b/>
      <sz val="36"/>
      <color rgb="FF003366"/>
      <name val="Brush Script MT"/>
      <family val="4"/>
    </font>
    <font>
      <sz val="22"/>
      <color rgb="FF003366"/>
      <name val="Baskerville Old Face"/>
      <family val="1"/>
    </font>
    <font>
      <sz val="11"/>
      <color rgb="FF3F3F76"/>
      <name val="Calibri"/>
      <family val="2"/>
      <scheme val="minor"/>
    </font>
    <font>
      <sz val="20"/>
      <color rgb="FF3F3F76"/>
      <name val="Baskerville Old Face"/>
      <family val="1"/>
    </font>
    <font>
      <sz val="11"/>
      <color rgb="FF9C5700"/>
      <name val="Calibri"/>
      <family val="2"/>
      <scheme val="minor"/>
    </font>
    <font>
      <b/>
      <sz val="12"/>
      <color rgb="FF9C5700"/>
      <name val="Calibri"/>
      <family val="2"/>
      <scheme val="minor"/>
    </font>
    <font>
      <sz val="12"/>
      <color theme="1"/>
      <name val="Calibri"/>
      <family val="2"/>
      <scheme val="minor"/>
    </font>
    <font>
      <b/>
      <sz val="26"/>
      <color rgb="FF006100"/>
      <name val="Calibri"/>
      <family val="2"/>
      <scheme val="minor"/>
    </font>
    <font>
      <b/>
      <sz val="11"/>
      <color rgb="FF3F3F3F"/>
      <name val="Calibri"/>
      <family val="2"/>
      <scheme val="minor"/>
    </font>
    <font>
      <b/>
      <sz val="11"/>
      <color rgb="FFFA7D00"/>
      <name val="Calibri"/>
      <family val="2"/>
      <scheme val="minor"/>
    </font>
    <font>
      <b/>
      <sz val="11"/>
      <color theme="0"/>
      <name val="Calibri"/>
      <family val="2"/>
      <scheme val="minor"/>
    </font>
    <font>
      <sz val="20"/>
      <color theme="1"/>
      <name val="Baskerville Old Face"/>
      <family val="1"/>
    </font>
    <font>
      <b/>
      <sz val="20"/>
      <color theme="0"/>
      <name val="Eras Light ITC"/>
      <family val="2"/>
    </font>
    <font>
      <b/>
      <i/>
      <sz val="20"/>
      <color theme="0"/>
      <name val="Castellar"/>
      <family val="1"/>
    </font>
    <font>
      <b/>
      <sz val="15"/>
      <color theme="3"/>
      <name val="Calibri"/>
      <family val="2"/>
      <scheme val="minor"/>
    </font>
    <font>
      <b/>
      <u/>
      <sz val="12"/>
      <color theme="1"/>
      <name val="Calibri"/>
      <family val="2"/>
      <scheme val="minor"/>
    </font>
    <font>
      <sz val="18"/>
      <color rgb="FF3F3F76"/>
      <name val="Calibri"/>
      <family val="2"/>
      <scheme val="minor"/>
    </font>
    <font>
      <sz val="11"/>
      <color theme="4"/>
      <name val="Calibri"/>
      <family val="2"/>
      <scheme val="minor"/>
    </font>
    <font>
      <b/>
      <sz val="24"/>
      <color theme="3"/>
      <name val="Calibri"/>
      <family val="2"/>
      <scheme val="minor"/>
    </font>
    <font>
      <b/>
      <sz val="20"/>
      <color theme="1"/>
      <name val="Calibri"/>
      <family val="2"/>
      <scheme val="minor"/>
    </font>
    <font>
      <b/>
      <sz val="12"/>
      <color theme="1"/>
      <name val="Calibri"/>
      <family val="2"/>
      <scheme val="minor"/>
    </font>
    <font>
      <b/>
      <sz val="16"/>
      <color theme="0"/>
      <name val="Calibri"/>
      <family val="2"/>
      <scheme val="minor"/>
    </font>
    <font>
      <sz val="8"/>
      <name val="Calibri"/>
      <family val="2"/>
      <scheme val="minor"/>
    </font>
    <font>
      <sz val="24"/>
      <color theme="1"/>
      <name val="Harrington"/>
      <family val="5"/>
    </font>
    <font>
      <sz val="20"/>
      <color theme="1"/>
      <name val="Calibri"/>
      <family val="2"/>
      <scheme val="minor"/>
    </font>
    <font>
      <sz val="16"/>
      <color rgb="FF3F3F76"/>
      <name val="Calibri"/>
      <family val="2"/>
      <scheme val="minor"/>
    </font>
    <font>
      <sz val="18"/>
      <color theme="1"/>
      <name val="Calibri"/>
      <family val="2"/>
      <scheme val="minor"/>
    </font>
    <font>
      <b/>
      <sz val="14"/>
      <color theme="1"/>
      <name val="Calibri"/>
      <family val="2"/>
      <scheme val="minor"/>
    </font>
    <font>
      <sz val="8"/>
      <color rgb="FF202124"/>
      <name val="Arial"/>
      <family val="2"/>
    </font>
    <font>
      <b/>
      <sz val="18"/>
      <color theme="1"/>
      <name val="Calibri"/>
      <family val="2"/>
      <scheme val="minor"/>
    </font>
    <font>
      <sz val="11"/>
      <color theme="1"/>
      <name val="Calibri"/>
      <family val="2"/>
      <scheme val="minor"/>
    </font>
    <font>
      <b/>
      <sz val="14"/>
      <color theme="0"/>
      <name val="Calibri"/>
      <family val="2"/>
      <scheme val="minor"/>
    </font>
    <font>
      <b/>
      <sz val="16"/>
      <color theme="1"/>
      <name val="Calibri"/>
      <family val="2"/>
      <scheme val="minor"/>
    </font>
    <font>
      <b/>
      <sz val="20"/>
      <color theme="9" tint="-0.249977111117893"/>
      <name val="Calibri"/>
      <family val="2"/>
      <scheme val="minor"/>
    </font>
  </fonts>
  <fills count="40">
    <fill>
      <patternFill patternType="none"/>
    </fill>
    <fill>
      <patternFill patternType="gray125"/>
    </fill>
    <fill>
      <patternFill patternType="solid">
        <fgColor rgb="FFC6EFCE"/>
      </patternFill>
    </fill>
    <fill>
      <patternFill patternType="solid">
        <fgColor theme="8"/>
      </patternFill>
    </fill>
    <fill>
      <patternFill patternType="solid">
        <fgColor rgb="FFFFCC99"/>
        <bgColor indexed="64"/>
      </patternFill>
    </fill>
    <fill>
      <patternFill patternType="solid">
        <fgColor rgb="FFFFCC99"/>
      </patternFill>
    </fill>
    <fill>
      <patternFill patternType="solid">
        <fgColor rgb="FFFFEB9C"/>
      </patternFill>
    </fill>
    <fill>
      <patternFill patternType="solid">
        <fgColor rgb="FFF2F2F2"/>
      </patternFill>
    </fill>
    <fill>
      <patternFill patternType="solid">
        <fgColor theme="5" tint="0.79998168889431442"/>
        <bgColor indexed="64"/>
      </patternFill>
    </fill>
    <fill>
      <patternFill patternType="solid">
        <fgColor theme="1" tint="0.499984740745262"/>
        <bgColor indexed="64"/>
      </patternFill>
    </fill>
    <fill>
      <patternFill patternType="solid">
        <fgColor rgb="FF669999"/>
        <bgColor indexed="64"/>
      </patternFill>
    </fill>
    <fill>
      <patternFill patternType="solid">
        <fgColor theme="2" tint="-0.499984740745262"/>
        <bgColor indexed="64"/>
      </patternFill>
    </fill>
    <fill>
      <patternFill patternType="solid">
        <fgColor rgb="FF7030A0"/>
        <bgColor indexed="64"/>
      </patternFill>
    </fill>
    <fill>
      <patternFill patternType="solid">
        <fgColor theme="3" tint="-0.499984740745262"/>
        <bgColor indexed="64"/>
      </patternFill>
    </fill>
    <fill>
      <patternFill patternType="solid">
        <fgColor rgb="FF00B050"/>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rgb="FF00B0F0"/>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C000"/>
        <bgColor indexed="64"/>
      </patternFill>
    </fill>
    <fill>
      <patternFill patternType="solid">
        <fgColor rgb="FF3399FF"/>
        <bgColor indexed="64"/>
      </patternFill>
    </fill>
    <fill>
      <patternFill patternType="solid">
        <fgColor rgb="FF92D050"/>
        <bgColor indexed="64"/>
      </patternFill>
    </fill>
    <fill>
      <patternFill patternType="solid">
        <fgColor theme="2" tint="-0.749992370372631"/>
        <bgColor indexed="64"/>
      </patternFill>
    </fill>
    <fill>
      <patternFill patternType="solid">
        <fgColor theme="3" tint="0.39997558519241921"/>
        <bgColor indexed="64"/>
      </patternFill>
    </fill>
    <fill>
      <patternFill patternType="solid">
        <fgColor theme="4" tint="-0.249977111117893"/>
        <bgColor indexed="64"/>
      </patternFill>
    </fill>
    <fill>
      <patternFill patternType="solid">
        <fgColor theme="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9F6FC"/>
        <bgColor indexed="64"/>
      </patternFill>
    </fill>
    <fill>
      <patternFill patternType="solid">
        <fgColor theme="9" tint="0.79998168889431442"/>
        <bgColor indexed="64"/>
      </patternFill>
    </fill>
    <fill>
      <patternFill patternType="solid">
        <fgColor theme="6"/>
      </patternFill>
    </fill>
    <fill>
      <patternFill patternType="solid">
        <fgColor theme="6" tint="0.79998168889431442"/>
        <bgColor indexed="65"/>
      </patternFill>
    </fill>
    <fill>
      <patternFill patternType="solid">
        <fgColor theme="8" tint="0.39997558519241921"/>
        <bgColor indexed="65"/>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59999389629810485"/>
        <bgColor indexed="64"/>
      </patternFill>
    </fill>
  </fills>
  <borders count="47">
    <border>
      <left/>
      <right/>
      <top/>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theme="0"/>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right/>
      <top/>
      <bottom style="thick">
        <color theme="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1"/>
      </top>
      <bottom style="thin">
        <color theme="1"/>
      </bottom>
      <diagonal/>
    </border>
    <border>
      <left style="thin">
        <color theme="1"/>
      </left>
      <right style="thin">
        <color theme="1"/>
      </right>
      <top/>
      <bottom style="thin">
        <color theme="1"/>
      </bottom>
      <diagonal/>
    </border>
    <border>
      <left style="thin">
        <color indexed="64"/>
      </left>
      <right style="thin">
        <color theme="1"/>
      </right>
      <top style="thin">
        <color indexed="64"/>
      </top>
      <bottom style="thin">
        <color theme="1"/>
      </bottom>
      <diagonal/>
    </border>
    <border>
      <left style="thin">
        <color theme="1"/>
      </left>
      <right style="thin">
        <color theme="1"/>
      </right>
      <top style="thin">
        <color indexed="64"/>
      </top>
      <bottom style="thin">
        <color theme="1"/>
      </bottom>
      <diagonal/>
    </border>
    <border>
      <left style="thin">
        <color theme="1"/>
      </left>
      <right style="thin">
        <color indexed="64"/>
      </right>
      <top style="thin">
        <color indexed="64"/>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style="thin">
        <color theme="1"/>
      </left>
      <right style="thin">
        <color theme="1"/>
      </right>
      <top/>
      <bottom/>
      <diagonal/>
    </border>
    <border>
      <left style="thin">
        <color theme="1"/>
      </left>
      <right style="thin">
        <color theme="1"/>
      </right>
      <top style="thin">
        <color theme="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1">
    <xf numFmtId="0" fontId="0" fillId="0" borderId="0"/>
    <xf numFmtId="0" fontId="2" fillId="2" borderId="0" applyNumberFormat="0" applyBorder="0" applyAlignment="0" applyProtection="0"/>
    <xf numFmtId="0" fontId="3" fillId="3" borderId="0" applyNumberFormat="0" applyBorder="0" applyAlignment="0" applyProtection="0"/>
    <xf numFmtId="0" fontId="6" fillId="5" borderId="1" applyNumberFormat="0" applyAlignment="0" applyProtection="0"/>
    <xf numFmtId="0" fontId="8" fillId="6" borderId="0" applyNumberFormat="0" applyBorder="0" applyAlignment="0" applyProtection="0"/>
    <xf numFmtId="0" fontId="12" fillId="7" borderId="5" applyNumberFormat="0" applyAlignment="0" applyProtection="0"/>
    <xf numFmtId="0" fontId="13" fillId="7" borderId="1" applyNumberFormat="0" applyAlignment="0" applyProtection="0"/>
    <xf numFmtId="0" fontId="18" fillId="0" borderId="16" applyNumberFormat="0" applyFill="0" applyAlignment="0" applyProtection="0"/>
    <xf numFmtId="0" fontId="3"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cellStyleXfs>
  <cellXfs count="205">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right"/>
    </xf>
    <xf numFmtId="0" fontId="0" fillId="4" borderId="0" xfId="0" applyFill="1"/>
    <xf numFmtId="0" fontId="1" fillId="0" borderId="0" xfId="0" applyFont="1" applyAlignment="1">
      <alignment horizontal="center"/>
    </xf>
    <xf numFmtId="0" fontId="10" fillId="0" borderId="0" xfId="0" applyFont="1" applyAlignment="1">
      <alignment horizontal="center"/>
    </xf>
    <xf numFmtId="0" fontId="13" fillId="7" borderId="1" xfId="6" applyAlignment="1">
      <alignment horizontal="center"/>
    </xf>
    <xf numFmtId="0" fontId="12" fillId="8" borderId="5" xfId="5" applyFill="1" applyAlignment="1">
      <alignment horizontal="center"/>
    </xf>
    <xf numFmtId="0" fontId="3" fillId="9" borderId="6" xfId="0" applyFont="1" applyFill="1" applyBorder="1"/>
    <xf numFmtId="0" fontId="14" fillId="9" borderId="6" xfId="0" applyFont="1" applyFill="1" applyBorder="1"/>
    <xf numFmtId="0" fontId="3" fillId="9" borderId="6" xfId="0" applyFont="1" applyFill="1" applyBorder="1" applyAlignment="1">
      <alignment horizontal="center"/>
    </xf>
    <xf numFmtId="0" fontId="3" fillId="13" borderId="9" xfId="0" applyFont="1" applyFill="1" applyBorder="1" applyAlignment="1">
      <alignment horizontal="center"/>
    </xf>
    <xf numFmtId="0" fontId="3" fillId="13" borderId="10" xfId="0" applyFont="1" applyFill="1" applyBorder="1" applyAlignment="1">
      <alignment horizontal="center"/>
    </xf>
    <xf numFmtId="0" fontId="3" fillId="13" borderId="11" xfId="0" applyFont="1" applyFill="1" applyBorder="1" applyAlignment="1">
      <alignment horizontal="center"/>
    </xf>
    <xf numFmtId="0" fontId="3" fillId="13" borderId="6" xfId="0" applyFont="1" applyFill="1" applyBorder="1" applyAlignment="1">
      <alignment horizontal="center"/>
    </xf>
    <xf numFmtId="0" fontId="0" fillId="14" borderId="6" xfId="0" applyFill="1" applyBorder="1"/>
    <xf numFmtId="0" fontId="1" fillId="14" borderId="6" xfId="0" applyFont="1" applyFill="1" applyBorder="1"/>
    <xf numFmtId="0" fontId="0" fillId="14" borderId="9" xfId="0" applyFill="1" applyBorder="1"/>
    <xf numFmtId="0" fontId="0" fillId="14" borderId="8" xfId="0" applyFill="1" applyBorder="1"/>
    <xf numFmtId="0" fontId="0" fillId="14" borderId="11" xfId="0" applyFill="1" applyBorder="1"/>
    <xf numFmtId="0" fontId="0" fillId="14" borderId="12" xfId="0" applyFill="1" applyBorder="1"/>
    <xf numFmtId="0" fontId="3" fillId="14" borderId="6" xfId="0" applyFont="1" applyFill="1" applyBorder="1"/>
    <xf numFmtId="0" fontId="14" fillId="14" borderId="6" xfId="0" applyFont="1" applyFill="1" applyBorder="1"/>
    <xf numFmtId="0" fontId="14" fillId="14" borderId="6" xfId="0" applyFont="1" applyFill="1" applyBorder="1" applyAlignment="1">
      <alignment horizontal="center"/>
    </xf>
    <xf numFmtId="0" fontId="0" fillId="15" borderId="7" xfId="0" applyFill="1" applyBorder="1" applyAlignment="1">
      <alignment horizontal="center"/>
    </xf>
    <xf numFmtId="0" fontId="3" fillId="14" borderId="6" xfId="0" applyFont="1" applyFill="1" applyBorder="1" applyAlignment="1">
      <alignment horizontal="center"/>
    </xf>
    <xf numFmtId="0" fontId="0" fillId="14" borderId="6" xfId="0" applyFill="1" applyBorder="1" applyAlignment="1">
      <alignment horizontal="center"/>
    </xf>
    <xf numFmtId="0" fontId="19" fillId="0" borderId="0" xfId="0" applyFont="1" applyAlignment="1">
      <alignment horizontal="center"/>
    </xf>
    <xf numFmtId="0" fontId="0" fillId="0" borderId="0" xfId="0" applyAlignment="1">
      <alignment horizontal="center" vertical="center"/>
    </xf>
    <xf numFmtId="165" fontId="0" fillId="0" borderId="0" xfId="0" applyNumberFormat="1" applyAlignment="1">
      <alignment horizontal="center"/>
    </xf>
    <xf numFmtId="0" fontId="21" fillId="16" borderId="0" xfId="0" applyFont="1" applyFill="1"/>
    <xf numFmtId="0" fontId="24" fillId="0" borderId="0" xfId="0" applyFont="1" applyAlignment="1">
      <alignment horizontal="center"/>
    </xf>
    <xf numFmtId="4" fontId="21" fillId="16" borderId="0" xfId="0" applyNumberFormat="1" applyFont="1" applyFill="1"/>
    <xf numFmtId="0" fontId="24" fillId="0" borderId="0" xfId="0" applyFont="1"/>
    <xf numFmtId="2" fontId="1" fillId="0" borderId="0" xfId="0" applyNumberFormat="1" applyFont="1" applyAlignment="1">
      <alignment horizontal="center"/>
    </xf>
    <xf numFmtId="166" fontId="0" fillId="0" borderId="0" xfId="0" applyNumberFormat="1" applyAlignment="1">
      <alignment horizontal="center"/>
    </xf>
    <xf numFmtId="166" fontId="0" fillId="0" borderId="0" xfId="0" applyNumberFormat="1"/>
    <xf numFmtId="0" fontId="14" fillId="23" borderId="6" xfId="0" applyFont="1" applyFill="1" applyBorder="1" applyAlignment="1">
      <alignment horizontal="center"/>
    </xf>
    <xf numFmtId="165" fontId="0" fillId="0" borderId="0" xfId="0" applyNumberFormat="1"/>
    <xf numFmtId="0" fontId="14" fillId="17" borderId="20" xfId="0" applyFont="1" applyFill="1" applyBorder="1" applyAlignment="1">
      <alignment horizontal="center"/>
    </xf>
    <xf numFmtId="0" fontId="14" fillId="17" borderId="21" xfId="0" applyFont="1" applyFill="1" applyBorder="1" applyAlignment="1">
      <alignment horizontal="center"/>
    </xf>
    <xf numFmtId="0" fontId="14" fillId="17" borderId="22" xfId="0" applyFont="1" applyFill="1" applyBorder="1" applyAlignment="1">
      <alignment horizontal="center"/>
    </xf>
    <xf numFmtId="0" fontId="14" fillId="24" borderId="6" xfId="0" applyFont="1" applyFill="1" applyBorder="1" applyAlignment="1">
      <alignment horizontal="center"/>
    </xf>
    <xf numFmtId="0" fontId="3" fillId="25" borderId="6" xfId="0" applyFont="1" applyFill="1" applyBorder="1" applyAlignment="1">
      <alignment horizontal="center"/>
    </xf>
    <xf numFmtId="0" fontId="3" fillId="9" borderId="9" xfId="0" applyFont="1" applyFill="1" applyBorder="1"/>
    <xf numFmtId="0" fontId="14" fillId="24" borderId="11" xfId="0" applyFont="1" applyFill="1" applyBorder="1" applyAlignment="1">
      <alignment horizontal="center"/>
    </xf>
    <xf numFmtId="0" fontId="3" fillId="9" borderId="12" xfId="0" applyFont="1" applyFill="1" applyBorder="1"/>
    <xf numFmtId="0" fontId="0" fillId="26" borderId="18" xfId="0" applyFill="1" applyBorder="1" applyAlignment="1">
      <alignment horizontal="center"/>
    </xf>
    <xf numFmtId="0" fontId="24" fillId="0" borderId="0" xfId="0" applyFont="1" applyAlignment="1">
      <alignment horizontal="left"/>
    </xf>
    <xf numFmtId="0" fontId="0" fillId="0" borderId="25" xfId="0" applyBorder="1"/>
    <xf numFmtId="0" fontId="0" fillId="0" borderId="27" xfId="0" applyBorder="1"/>
    <xf numFmtId="0" fontId="0" fillId="0" borderId="28" xfId="0" applyBorder="1" applyAlignment="1">
      <alignment horizontal="center"/>
    </xf>
    <xf numFmtId="166" fontId="0" fillId="0" borderId="28" xfId="0" applyNumberFormat="1" applyBorder="1" applyAlignment="1">
      <alignment horizontal="center"/>
    </xf>
    <xf numFmtId="0" fontId="1" fillId="0" borderId="27" xfId="0" applyFont="1" applyBorder="1"/>
    <xf numFmtId="0" fontId="1" fillId="0" borderId="29" xfId="0" applyFont="1" applyBorder="1"/>
    <xf numFmtId="166" fontId="0" fillId="0" borderId="30" xfId="0" applyNumberFormat="1" applyBorder="1" applyAlignment="1">
      <alignment horizontal="center"/>
    </xf>
    <xf numFmtId="0" fontId="0" fillId="0" borderId="30" xfId="0" applyBorder="1" applyAlignment="1">
      <alignment horizontal="center"/>
    </xf>
    <xf numFmtId="0" fontId="0" fillId="26" borderId="7" xfId="0" applyFill="1" applyBorder="1" applyAlignment="1">
      <alignment horizontal="center" vertical="center"/>
    </xf>
    <xf numFmtId="0" fontId="27" fillId="26" borderId="7" xfId="2" applyFont="1" applyFill="1" applyBorder="1" applyAlignment="1">
      <alignment vertical="center"/>
    </xf>
    <xf numFmtId="166" fontId="0" fillId="26" borderId="7" xfId="0" applyNumberFormat="1" applyFill="1" applyBorder="1" applyAlignment="1">
      <alignment horizontal="center" vertical="center"/>
    </xf>
    <xf numFmtId="0" fontId="0" fillId="26" borderId="23" xfId="0" applyFill="1" applyBorder="1" applyAlignment="1">
      <alignment horizontal="center" vertical="center"/>
    </xf>
    <xf numFmtId="0" fontId="0" fillId="26" borderId="32" xfId="0" applyFill="1" applyBorder="1" applyAlignment="1">
      <alignment horizontal="center" vertical="center"/>
    </xf>
    <xf numFmtId="164" fontId="0" fillId="26" borderId="24" xfId="0" applyNumberFormat="1" applyFill="1" applyBorder="1" applyAlignment="1">
      <alignment horizontal="center" vertical="center"/>
    </xf>
    <xf numFmtId="0" fontId="0" fillId="26" borderId="24" xfId="0" applyFill="1" applyBorder="1" applyAlignment="1">
      <alignment horizontal="center" vertical="center"/>
    </xf>
    <xf numFmtId="0" fontId="1" fillId="26" borderId="7" xfId="0" applyFont="1" applyFill="1" applyBorder="1" applyAlignment="1">
      <alignment horizontal="center" vertical="center"/>
    </xf>
    <xf numFmtId="0" fontId="1" fillId="27" borderId="7" xfId="0" applyFont="1" applyFill="1" applyBorder="1" applyAlignment="1">
      <alignment horizontal="center" vertical="center"/>
    </xf>
    <xf numFmtId="0" fontId="0" fillId="26" borderId="39" xfId="0" applyFill="1" applyBorder="1" applyAlignment="1">
      <alignment horizontal="center" vertical="center"/>
    </xf>
    <xf numFmtId="0" fontId="0" fillId="26" borderId="40" xfId="0" applyFill="1" applyBorder="1" applyAlignment="1">
      <alignment horizontal="center" vertical="center"/>
    </xf>
    <xf numFmtId="0" fontId="0" fillId="29" borderId="33" xfId="0" applyFill="1" applyBorder="1" applyAlignment="1">
      <alignment horizontal="center" vertical="center"/>
    </xf>
    <xf numFmtId="0" fontId="0" fillId="29" borderId="34" xfId="0" applyFill="1" applyBorder="1" applyAlignment="1">
      <alignment horizontal="center" vertical="center"/>
    </xf>
    <xf numFmtId="0" fontId="1" fillId="29" borderId="35" xfId="0" applyFont="1" applyFill="1" applyBorder="1" applyAlignment="1">
      <alignment horizontal="center" vertical="center"/>
    </xf>
    <xf numFmtId="0" fontId="0" fillId="29" borderId="36" xfId="0" applyFill="1" applyBorder="1" applyAlignment="1">
      <alignment horizontal="center" vertical="center"/>
    </xf>
    <xf numFmtId="0" fontId="0" fillId="29" borderId="37" xfId="0" applyFill="1" applyBorder="1" applyAlignment="1">
      <alignment horizontal="center" vertical="center"/>
    </xf>
    <xf numFmtId="0" fontId="0" fillId="29" borderId="38" xfId="0" applyFill="1" applyBorder="1" applyAlignment="1">
      <alignment horizontal="center" vertical="center"/>
    </xf>
    <xf numFmtId="0" fontId="1" fillId="29" borderId="37" xfId="0" applyFont="1" applyFill="1" applyBorder="1" applyAlignment="1">
      <alignment horizontal="center" vertical="center"/>
    </xf>
    <xf numFmtId="0" fontId="0" fillId="0" borderId="18" xfId="0" applyBorder="1" applyAlignment="1">
      <alignment horizontal="center"/>
    </xf>
    <xf numFmtId="0" fontId="0" fillId="8" borderId="20" xfId="0" applyFill="1" applyBorder="1" applyAlignment="1">
      <alignment horizontal="left" vertical="center"/>
    </xf>
    <xf numFmtId="0" fontId="0" fillId="8" borderId="21" xfId="0" applyFill="1" applyBorder="1" applyAlignment="1">
      <alignment horizontal="left" vertical="center"/>
    </xf>
    <xf numFmtId="0" fontId="0" fillId="8" borderId="22" xfId="0" applyFill="1" applyBorder="1" applyAlignment="1">
      <alignment horizontal="left" vertical="center"/>
    </xf>
    <xf numFmtId="0" fontId="0" fillId="30" borderId="18" xfId="0" applyFill="1" applyBorder="1" applyAlignment="1">
      <alignment horizontal="center"/>
    </xf>
    <xf numFmtId="0" fontId="0" fillId="30" borderId="18" xfId="0" applyFill="1" applyBorder="1" applyAlignment="1">
      <alignment horizontal="center" vertical="center"/>
    </xf>
    <xf numFmtId="167" fontId="0" fillId="0" borderId="0" xfId="0" applyNumberFormat="1" applyAlignment="1">
      <alignment horizontal="center"/>
    </xf>
    <xf numFmtId="0" fontId="1" fillId="0" borderId="0" xfId="0" applyFont="1" applyAlignment="1">
      <alignment horizontal="center" vertical="center"/>
    </xf>
    <xf numFmtId="166" fontId="0" fillId="0" borderId="0" xfId="0" applyNumberFormat="1" applyAlignment="1">
      <alignment horizontal="center" vertical="center"/>
    </xf>
    <xf numFmtId="0" fontId="3" fillId="14" borderId="0" xfId="0" applyFont="1" applyFill="1" applyAlignment="1">
      <alignment horizontal="center" vertical="center"/>
    </xf>
    <xf numFmtId="166" fontId="3" fillId="14" borderId="0" xfId="0" applyNumberFormat="1" applyFont="1" applyFill="1" applyAlignment="1">
      <alignment horizontal="center" vertical="center"/>
    </xf>
    <xf numFmtId="0" fontId="1" fillId="30" borderId="25" xfId="0" applyFont="1" applyFill="1" applyBorder="1" applyAlignment="1">
      <alignment horizontal="center" vertical="center"/>
    </xf>
    <xf numFmtId="10" fontId="1" fillId="30" borderId="26" xfId="0" applyNumberFormat="1" applyFont="1" applyFill="1" applyBorder="1" applyAlignment="1">
      <alignment horizontal="center" vertical="center"/>
    </xf>
    <xf numFmtId="0" fontId="1" fillId="31" borderId="18" xfId="0" applyFont="1" applyFill="1" applyBorder="1" applyAlignment="1">
      <alignment horizontal="center" vertical="center"/>
    </xf>
    <xf numFmtId="167" fontId="0" fillId="0" borderId="0" xfId="0" applyNumberFormat="1" applyAlignment="1">
      <alignment horizontal="center" vertical="center"/>
    </xf>
    <xf numFmtId="166" fontId="1" fillId="0" borderId="0" xfId="0" applyNumberFormat="1" applyFont="1"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horizontal="left" vertical="center"/>
    </xf>
    <xf numFmtId="0" fontId="1" fillId="32" borderId="41" xfId="0" applyFont="1" applyFill="1" applyBorder="1" applyAlignment="1">
      <alignment horizontal="center" vertical="center"/>
    </xf>
    <xf numFmtId="0" fontId="32" fillId="0" borderId="0" xfId="0" applyFont="1"/>
    <xf numFmtId="0" fontId="0" fillId="8" borderId="7" xfId="0" applyFill="1" applyBorder="1" applyAlignment="1">
      <alignment horizontal="center" vertical="center"/>
    </xf>
    <xf numFmtId="165" fontId="0" fillId="26" borderId="7" xfId="0" applyNumberFormat="1" applyFill="1" applyBorder="1" applyAlignment="1">
      <alignment horizontal="center" vertical="center"/>
    </xf>
    <xf numFmtId="10" fontId="0" fillId="26" borderId="7" xfId="0" applyNumberFormat="1" applyFill="1" applyBorder="1" applyAlignment="1">
      <alignment horizontal="center" vertical="center"/>
    </xf>
    <xf numFmtId="0" fontId="1" fillId="27" borderId="18" xfId="0" applyFont="1" applyFill="1" applyBorder="1" applyAlignment="1">
      <alignment horizontal="center"/>
    </xf>
    <xf numFmtId="0" fontId="3" fillId="17" borderId="18" xfId="0" applyFont="1" applyFill="1" applyBorder="1" applyAlignment="1">
      <alignment horizontal="center"/>
    </xf>
    <xf numFmtId="0" fontId="1" fillId="0" borderId="18" xfId="0" applyFont="1" applyBorder="1"/>
    <xf numFmtId="0" fontId="0" fillId="0" borderId="41" xfId="0" applyBorder="1" applyAlignment="1">
      <alignment horizontal="center"/>
    </xf>
    <xf numFmtId="0" fontId="1" fillId="15" borderId="7" xfId="0" applyFont="1" applyFill="1" applyBorder="1" applyAlignment="1">
      <alignment horizontal="center"/>
    </xf>
    <xf numFmtId="0" fontId="1" fillId="35" borderId="7" xfId="9" applyFont="1" applyBorder="1" applyAlignment="1">
      <alignment horizontal="center"/>
    </xf>
    <xf numFmtId="0" fontId="34" fillId="35" borderId="7" xfId="9" applyBorder="1" applyAlignment="1">
      <alignment horizontal="center"/>
    </xf>
    <xf numFmtId="0" fontId="1" fillId="35" borderId="7" xfId="9" applyFont="1" applyBorder="1" applyAlignment="1">
      <alignment horizontal="center" vertical="center"/>
    </xf>
    <xf numFmtId="168" fontId="34" fillId="35" borderId="7" xfId="9" applyNumberFormat="1" applyBorder="1" applyAlignment="1">
      <alignment horizontal="center"/>
    </xf>
    <xf numFmtId="0" fontId="0" fillId="15" borderId="24" xfId="0" applyFill="1" applyBorder="1" applyAlignment="1">
      <alignment horizontal="center"/>
    </xf>
    <xf numFmtId="166" fontId="0" fillId="0" borderId="18" xfId="0" applyNumberFormat="1" applyBorder="1" applyAlignment="1">
      <alignment horizontal="center"/>
    </xf>
    <xf numFmtId="169" fontId="0" fillId="0" borderId="0" xfId="0" applyNumberFormat="1" applyAlignment="1">
      <alignment horizontal="center"/>
    </xf>
    <xf numFmtId="0" fontId="0" fillId="26" borderId="0" xfId="0" applyFill="1"/>
    <xf numFmtId="0" fontId="1" fillId="0" borderId="18" xfId="0" applyFont="1" applyBorder="1" applyAlignment="1">
      <alignment horizontal="center"/>
    </xf>
    <xf numFmtId="0" fontId="5" fillId="4" borderId="0" xfId="0" applyFont="1" applyFill="1" applyAlignment="1">
      <alignment horizontal="left"/>
    </xf>
    <xf numFmtId="0" fontId="4" fillId="4" borderId="0" xfId="0" applyFont="1" applyFill="1" applyAlignment="1">
      <alignment horizontal="center"/>
    </xf>
    <xf numFmtId="0" fontId="0" fillId="0" borderId="0" xfId="0" applyAlignment="1">
      <alignment horizontal="center" vertical="center"/>
    </xf>
    <xf numFmtId="0" fontId="24" fillId="0" borderId="17" xfId="0" applyFont="1" applyBorder="1" applyAlignment="1">
      <alignment horizontal="center" vertical="center"/>
    </xf>
    <xf numFmtId="0" fontId="22" fillId="0" borderId="16" xfId="7" applyFont="1" applyAlignment="1">
      <alignment horizontal="center"/>
    </xf>
    <xf numFmtId="0" fontId="23" fillId="0" borderId="17" xfId="0" applyFont="1" applyBorder="1" applyAlignment="1">
      <alignment horizontal="center"/>
    </xf>
    <xf numFmtId="0" fontId="1" fillId="31" borderId="18" xfId="0" applyFont="1" applyFill="1" applyBorder="1" applyAlignment="1">
      <alignment horizontal="center" vertical="center"/>
    </xf>
    <xf numFmtId="0" fontId="24" fillId="28" borderId="18" xfId="0" applyFont="1" applyFill="1" applyBorder="1" applyAlignment="1">
      <alignment horizontal="center"/>
    </xf>
    <xf numFmtId="0" fontId="7" fillId="5" borderId="2" xfId="3" applyFont="1" applyBorder="1" applyAlignment="1">
      <alignment horizontal="center"/>
    </xf>
    <xf numFmtId="0" fontId="7" fillId="5" borderId="3" xfId="3" applyFont="1" applyBorder="1" applyAlignment="1">
      <alignment horizontal="center"/>
    </xf>
    <xf numFmtId="0" fontId="7" fillId="5" borderId="4" xfId="3" applyFont="1" applyBorder="1" applyAlignment="1">
      <alignment horizontal="center"/>
    </xf>
    <xf numFmtId="0" fontId="1" fillId="22" borderId="18" xfId="0" applyFont="1" applyFill="1" applyBorder="1" applyAlignment="1">
      <alignment horizontal="center"/>
    </xf>
    <xf numFmtId="0" fontId="1" fillId="20" borderId="18" xfId="0" applyFont="1" applyFill="1" applyBorder="1" applyAlignment="1">
      <alignment horizontal="center"/>
    </xf>
    <xf numFmtId="0" fontId="1" fillId="18" borderId="18" xfId="0" applyFont="1" applyFill="1" applyBorder="1" applyAlignment="1">
      <alignment horizontal="center"/>
    </xf>
    <xf numFmtId="0" fontId="1" fillId="19" borderId="18" xfId="0" applyFont="1" applyFill="1" applyBorder="1" applyAlignment="1">
      <alignment horizontal="center"/>
    </xf>
    <xf numFmtId="0" fontId="1" fillId="21" borderId="18" xfId="0" applyFont="1" applyFill="1" applyBorder="1" applyAlignment="1">
      <alignment horizontal="center"/>
    </xf>
    <xf numFmtId="0" fontId="1" fillId="8" borderId="18" xfId="0" applyFont="1" applyFill="1" applyBorder="1" applyAlignment="1">
      <alignment horizontal="center" vertical="center"/>
    </xf>
    <xf numFmtId="0" fontId="3" fillId="17" borderId="20" xfId="0" applyFont="1" applyFill="1" applyBorder="1" applyAlignment="1">
      <alignment horizontal="center"/>
    </xf>
    <xf numFmtId="0" fontId="3" fillId="17" borderId="22" xfId="0" applyFont="1" applyFill="1" applyBorder="1" applyAlignment="1">
      <alignment horizontal="center"/>
    </xf>
    <xf numFmtId="167" fontId="0" fillId="0" borderId="20" xfId="0" applyNumberFormat="1" applyBorder="1" applyAlignment="1">
      <alignment horizontal="center"/>
    </xf>
    <xf numFmtId="167" fontId="0" fillId="0" borderId="22" xfId="0" applyNumberFormat="1" applyBorder="1" applyAlignment="1">
      <alignment horizontal="center"/>
    </xf>
    <xf numFmtId="0" fontId="0" fillId="28" borderId="20" xfId="0" applyFill="1" applyBorder="1" applyAlignment="1">
      <alignment horizontal="center"/>
    </xf>
    <xf numFmtId="0" fontId="0" fillId="28" borderId="21" xfId="0" applyFill="1" applyBorder="1" applyAlignment="1">
      <alignment horizontal="center"/>
    </xf>
    <xf numFmtId="0" fontId="0" fillId="28" borderId="22" xfId="0" applyFill="1" applyBorder="1" applyAlignment="1">
      <alignment horizontal="center"/>
    </xf>
    <xf numFmtId="0" fontId="31" fillId="33" borderId="18" xfId="0" applyFont="1" applyFill="1" applyBorder="1" applyAlignment="1">
      <alignment horizontal="center" vertical="center"/>
    </xf>
    <xf numFmtId="0" fontId="1" fillId="8" borderId="20" xfId="0" applyFont="1" applyFill="1" applyBorder="1" applyAlignment="1">
      <alignment horizontal="center" vertical="center"/>
    </xf>
    <xf numFmtId="0" fontId="1" fillId="8" borderId="22" xfId="0" applyFont="1" applyFill="1" applyBorder="1" applyAlignment="1">
      <alignment horizontal="center" vertical="center"/>
    </xf>
    <xf numFmtId="0" fontId="1" fillId="16" borderId="20" xfId="0" applyFont="1" applyFill="1" applyBorder="1" applyAlignment="1">
      <alignment horizontal="center"/>
    </xf>
    <xf numFmtId="0" fontId="1" fillId="16" borderId="21" xfId="0" applyFont="1" applyFill="1" applyBorder="1" applyAlignment="1">
      <alignment horizontal="center"/>
    </xf>
    <xf numFmtId="0" fontId="1" fillId="16" borderId="22" xfId="0" applyFont="1" applyFill="1" applyBorder="1" applyAlignment="1">
      <alignment horizontal="center"/>
    </xf>
    <xf numFmtId="0" fontId="1" fillId="16" borderId="20" xfId="0" applyFont="1" applyFill="1" applyBorder="1" applyAlignment="1">
      <alignment horizontal="center" vertical="center"/>
    </xf>
    <xf numFmtId="0" fontId="1" fillId="16" borderId="21" xfId="0" applyFont="1" applyFill="1" applyBorder="1" applyAlignment="1">
      <alignment horizontal="center" vertical="center"/>
    </xf>
    <xf numFmtId="0" fontId="1" fillId="16" borderId="22" xfId="0" applyFont="1" applyFill="1" applyBorder="1" applyAlignment="1">
      <alignment horizontal="center" vertical="center"/>
    </xf>
    <xf numFmtId="167" fontId="0" fillId="0" borderId="18" xfId="0" applyNumberFormat="1" applyBorder="1" applyAlignment="1">
      <alignment horizontal="center"/>
    </xf>
    <xf numFmtId="0" fontId="33" fillId="16" borderId="18" xfId="0" applyFont="1" applyFill="1" applyBorder="1" applyAlignment="1">
      <alignment horizontal="center" vertical="center"/>
    </xf>
    <xf numFmtId="0" fontId="0" fillId="0" borderId="20" xfId="0" applyBorder="1" applyAlignment="1">
      <alignment horizontal="center"/>
    </xf>
    <xf numFmtId="0" fontId="0" fillId="0" borderId="22" xfId="0" applyBorder="1" applyAlignment="1">
      <alignment horizontal="center"/>
    </xf>
    <xf numFmtId="0" fontId="31" fillId="28" borderId="23" xfId="0" applyFont="1" applyFill="1" applyBorder="1" applyAlignment="1">
      <alignment horizontal="center" vertical="center"/>
    </xf>
    <xf numFmtId="0" fontId="31" fillId="28" borderId="31" xfId="0" applyFont="1" applyFill="1" applyBorder="1" applyAlignment="1">
      <alignment horizontal="center" vertical="center"/>
    </xf>
    <xf numFmtId="0" fontId="31" fillId="28" borderId="24" xfId="0" applyFont="1" applyFill="1" applyBorder="1" applyAlignment="1">
      <alignment horizontal="center" vertical="center"/>
    </xf>
    <xf numFmtId="0" fontId="30" fillId="26" borderId="42" xfId="0" applyFont="1" applyFill="1" applyBorder="1" applyAlignment="1">
      <alignment horizontal="center" vertical="center"/>
    </xf>
    <xf numFmtId="0" fontId="30" fillId="26" borderId="43" xfId="0" applyFont="1" applyFill="1" applyBorder="1" applyAlignment="1">
      <alignment horizontal="center" vertical="center"/>
    </xf>
    <xf numFmtId="0" fontId="30" fillId="0" borderId="42" xfId="0" applyFont="1" applyBorder="1" applyAlignment="1">
      <alignment horizontal="center" vertical="center"/>
    </xf>
    <xf numFmtId="0" fontId="30" fillId="0" borderId="43" xfId="0" applyFont="1" applyBorder="1" applyAlignment="1">
      <alignment horizontal="center" vertical="center"/>
    </xf>
    <xf numFmtId="0" fontId="0" fillId="8" borderId="20" xfId="0" applyFill="1" applyBorder="1" applyAlignment="1">
      <alignment horizontal="left" vertical="center"/>
    </xf>
    <xf numFmtId="0" fontId="0" fillId="8" borderId="21" xfId="0" applyFill="1" applyBorder="1" applyAlignment="1">
      <alignment horizontal="left" vertical="center"/>
    </xf>
    <xf numFmtId="0" fontId="0" fillId="8" borderId="22" xfId="0" applyFill="1" applyBorder="1" applyAlignment="1">
      <alignment horizontal="left" vertical="center"/>
    </xf>
    <xf numFmtId="0" fontId="29" fillId="5" borderId="20" xfId="3" applyFont="1" applyBorder="1" applyAlignment="1">
      <alignment horizontal="center" vertical="center"/>
    </xf>
    <xf numFmtId="0" fontId="29" fillId="5" borderId="21" xfId="3" applyFont="1" applyBorder="1" applyAlignment="1">
      <alignment horizontal="center" vertical="center"/>
    </xf>
    <xf numFmtId="0" fontId="29" fillId="5" borderId="22" xfId="3" applyFont="1" applyBorder="1" applyAlignment="1">
      <alignment horizontal="center" vertical="center"/>
    </xf>
    <xf numFmtId="0" fontId="36" fillId="36" borderId="0" xfId="10" applyFont="1" applyAlignment="1">
      <alignment horizontal="center" vertical="center"/>
    </xf>
    <xf numFmtId="0" fontId="28" fillId="0" borderId="0" xfId="0" applyFont="1" applyAlignment="1">
      <alignment horizontal="center" vertical="center"/>
    </xf>
    <xf numFmtId="0" fontId="17" fillId="12" borderId="23" xfId="3" applyFont="1" applyFill="1" applyBorder="1" applyAlignment="1">
      <alignment horizontal="center"/>
    </xf>
    <xf numFmtId="0" fontId="17" fillId="12" borderId="31" xfId="3" applyFont="1" applyFill="1" applyBorder="1" applyAlignment="1">
      <alignment horizontal="center"/>
    </xf>
    <xf numFmtId="0" fontId="17" fillId="12" borderId="24" xfId="3" applyFont="1" applyFill="1" applyBorder="1" applyAlignment="1">
      <alignment horizontal="center"/>
    </xf>
    <xf numFmtId="0" fontId="35" fillId="34" borderId="23" xfId="8" applyFont="1" applyBorder="1" applyAlignment="1">
      <alignment horizontal="center"/>
    </xf>
    <xf numFmtId="0" fontId="35" fillId="34" borderId="31" xfId="8" applyFont="1" applyBorder="1" applyAlignment="1">
      <alignment horizontal="center"/>
    </xf>
    <xf numFmtId="0" fontId="35" fillId="34" borderId="24" xfId="8" applyFont="1" applyBorder="1" applyAlignment="1">
      <alignment horizontal="center"/>
    </xf>
    <xf numFmtId="0" fontId="25" fillId="12" borderId="23" xfId="3" applyFont="1" applyFill="1" applyBorder="1" applyAlignment="1">
      <alignment horizontal="center"/>
    </xf>
    <xf numFmtId="0" fontId="25" fillId="12" borderId="31" xfId="3" applyFont="1" applyFill="1" applyBorder="1" applyAlignment="1">
      <alignment horizontal="center"/>
    </xf>
    <xf numFmtId="0" fontId="25" fillId="12" borderId="24" xfId="3" applyFont="1" applyFill="1" applyBorder="1" applyAlignment="1">
      <alignment horizontal="center"/>
    </xf>
    <xf numFmtId="0" fontId="1" fillId="35" borderId="40" xfId="9" applyFont="1" applyBorder="1" applyAlignment="1">
      <alignment horizontal="center" vertical="center"/>
    </xf>
    <xf numFmtId="0" fontId="1" fillId="35" borderId="32" xfId="9" applyFont="1" applyBorder="1" applyAlignment="1">
      <alignment horizontal="center" vertical="center"/>
    </xf>
    <xf numFmtId="0" fontId="14" fillId="23" borderId="9" xfId="0" applyFont="1" applyFill="1" applyBorder="1" applyAlignment="1">
      <alignment horizontal="center"/>
    </xf>
    <xf numFmtId="0" fontId="14" fillId="23" borderId="8" xfId="0" applyFont="1" applyFill="1" applyBorder="1" applyAlignment="1">
      <alignment horizontal="center"/>
    </xf>
    <xf numFmtId="0" fontId="16" fillId="11" borderId="13" xfId="3" applyFont="1" applyFill="1" applyBorder="1" applyAlignment="1">
      <alignment horizontal="center"/>
    </xf>
    <xf numFmtId="0" fontId="16" fillId="11" borderId="14" xfId="3" applyFont="1" applyFill="1" applyBorder="1" applyAlignment="1">
      <alignment horizontal="center"/>
    </xf>
    <xf numFmtId="0" fontId="16" fillId="11" borderId="15" xfId="3" applyFont="1" applyFill="1" applyBorder="1" applyAlignment="1">
      <alignment horizontal="center"/>
    </xf>
    <xf numFmtId="0" fontId="14" fillId="14" borderId="9" xfId="0" applyFont="1" applyFill="1" applyBorder="1" applyAlignment="1">
      <alignment horizontal="center"/>
    </xf>
    <xf numFmtId="0" fontId="14" fillId="14" borderId="8" xfId="0" applyFont="1" applyFill="1" applyBorder="1" applyAlignment="1">
      <alignment horizontal="center"/>
    </xf>
    <xf numFmtId="0" fontId="25" fillId="14" borderId="9" xfId="0" applyFont="1" applyFill="1" applyBorder="1" applyAlignment="1">
      <alignment horizontal="center"/>
    </xf>
    <xf numFmtId="0" fontId="25" fillId="14" borderId="19" xfId="0" applyFont="1" applyFill="1" applyBorder="1" applyAlignment="1">
      <alignment horizontal="center"/>
    </xf>
    <xf numFmtId="0" fontId="25" fillId="14" borderId="8" xfId="0" applyFont="1" applyFill="1" applyBorder="1" applyAlignment="1">
      <alignment horizontal="center"/>
    </xf>
    <xf numFmtId="0" fontId="15" fillId="10" borderId="9" xfId="3" applyFont="1" applyFill="1" applyBorder="1" applyAlignment="1">
      <alignment horizontal="center"/>
    </xf>
    <xf numFmtId="0" fontId="15" fillId="10" borderId="19" xfId="3" applyFont="1" applyFill="1" applyBorder="1" applyAlignment="1">
      <alignment horizontal="center"/>
    </xf>
    <xf numFmtId="0" fontId="15" fillId="10" borderId="8" xfId="3" applyFont="1" applyFill="1" applyBorder="1" applyAlignment="1">
      <alignment horizontal="center"/>
    </xf>
    <xf numFmtId="0" fontId="20" fillId="5" borderId="1" xfId="3" applyFont="1" applyAlignment="1">
      <alignment horizontal="center"/>
    </xf>
    <xf numFmtId="0" fontId="9" fillId="6" borderId="2" xfId="4" applyFont="1" applyBorder="1" applyAlignment="1">
      <alignment horizontal="center"/>
    </xf>
    <xf numFmtId="0" fontId="9" fillId="6" borderId="4" xfId="4" applyFont="1" applyBorder="1" applyAlignment="1">
      <alignment horizontal="center"/>
    </xf>
    <xf numFmtId="0" fontId="11" fillId="2" borderId="0" xfId="1" applyFont="1" applyAlignment="1">
      <alignment horizontal="center"/>
    </xf>
    <xf numFmtId="0" fontId="9" fillId="6" borderId="3" xfId="4" applyFont="1" applyBorder="1" applyAlignment="1">
      <alignment horizontal="center"/>
    </xf>
    <xf numFmtId="0" fontId="14" fillId="17" borderId="18" xfId="0" applyFont="1" applyFill="1" applyBorder="1" applyAlignment="1">
      <alignment horizontal="center"/>
    </xf>
    <xf numFmtId="0" fontId="1" fillId="39" borderId="18" xfId="0" applyFont="1" applyFill="1" applyBorder="1" applyAlignment="1">
      <alignment horizontal="center"/>
    </xf>
    <xf numFmtId="0" fontId="1" fillId="0" borderId="0" xfId="0" applyFont="1" applyAlignment="1">
      <alignment horizontal="center"/>
    </xf>
    <xf numFmtId="0" fontId="37" fillId="37" borderId="0" xfId="0" applyFont="1" applyFill="1" applyAlignment="1">
      <alignment horizontal="center"/>
    </xf>
    <xf numFmtId="0" fontId="3" fillId="38" borderId="20" xfId="0" applyFont="1" applyFill="1" applyBorder="1" applyAlignment="1">
      <alignment horizontal="center"/>
    </xf>
    <xf numFmtId="0" fontId="3" fillId="38" borderId="21" xfId="0" applyFont="1" applyFill="1" applyBorder="1" applyAlignment="1">
      <alignment horizontal="center"/>
    </xf>
    <xf numFmtId="0" fontId="3" fillId="38" borderId="22" xfId="0" applyFont="1" applyFill="1" applyBorder="1" applyAlignment="1">
      <alignment horizontal="center"/>
    </xf>
    <xf numFmtId="0" fontId="1" fillId="15" borderId="44" xfId="0" applyFont="1" applyFill="1" applyBorder="1" applyAlignment="1">
      <alignment horizontal="center"/>
    </xf>
    <xf numFmtId="0" fontId="1" fillId="15" borderId="45" xfId="0" applyFont="1" applyFill="1" applyBorder="1" applyAlignment="1">
      <alignment horizontal="center"/>
    </xf>
    <xf numFmtId="0" fontId="1" fillId="15" borderId="46" xfId="0" applyFont="1" applyFill="1" applyBorder="1" applyAlignment="1">
      <alignment horizontal="center"/>
    </xf>
  </cellXfs>
  <cellStyles count="11">
    <cellStyle name="20% - Accent3" xfId="9" builtinId="38"/>
    <cellStyle name="60% - Accent5" xfId="10" builtinId="48"/>
    <cellStyle name="Accent3" xfId="8" builtinId="37"/>
    <cellStyle name="Accent5" xfId="2" builtinId="45"/>
    <cellStyle name="Calculation" xfId="6" builtinId="22"/>
    <cellStyle name="Good" xfId="1" builtinId="26"/>
    <cellStyle name="Heading 1" xfId="7" builtinId="16"/>
    <cellStyle name="Input" xfId="3" builtinId="20"/>
    <cellStyle name="Neutral" xfId="4" builtinId="28"/>
    <cellStyle name="Normal" xfId="0" builtinId="0"/>
    <cellStyle name="Output" xfId="5" builtinId="21"/>
  </cellStyles>
  <dxfs count="134">
    <dxf>
      <font>
        <b/>
        <i/>
      </font>
      <fill>
        <patternFill>
          <bgColor rgb="FF00B050"/>
        </patternFill>
      </fill>
    </dxf>
    <dxf>
      <fill>
        <patternFill>
          <bgColor rgb="FFFF0000"/>
        </patternFill>
      </fill>
    </dxf>
    <dxf>
      <fill>
        <patternFill>
          <bgColor rgb="FF00B050"/>
        </patternFill>
      </fill>
    </dxf>
    <dxf>
      <fill>
        <patternFill>
          <bgColor rgb="FFFF0000"/>
        </patternFill>
      </fill>
    </dxf>
    <dxf>
      <font>
        <b val="0"/>
        <i/>
      </font>
      <fill>
        <patternFill>
          <bgColor rgb="FF00B050"/>
        </patternFill>
      </fill>
    </dxf>
    <dxf>
      <font>
        <b/>
        <i/>
      </font>
      <fill>
        <patternFill>
          <bgColor rgb="FF00B050"/>
        </patternFill>
      </fill>
    </dxf>
    <dxf>
      <fill>
        <patternFill>
          <bgColor rgb="FFFF0000"/>
        </patternFill>
      </fill>
    </dxf>
    <dxf>
      <fill>
        <patternFill>
          <bgColor rgb="FFFF33CC"/>
        </patternFill>
      </fill>
    </dxf>
    <dxf>
      <fill>
        <patternFill>
          <bgColor theme="7" tint="-0.24994659260841701"/>
        </patternFill>
      </fill>
    </dxf>
    <dxf>
      <fill>
        <patternFill>
          <bgColor rgb="FFFFC000"/>
        </patternFill>
      </fill>
    </dxf>
    <dxf>
      <fill>
        <patternFill>
          <bgColor rgb="FF7030A0"/>
        </patternFill>
      </fill>
    </dxf>
    <dxf>
      <fill>
        <patternFill>
          <bgColor rgb="FFFF0000"/>
        </patternFill>
      </fill>
    </dxf>
    <dxf>
      <fill>
        <patternFill>
          <bgColor rgb="FF00B05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50"/>
        </patternFill>
      </fill>
    </dxf>
    <dxf>
      <fill>
        <patternFill>
          <bgColor rgb="FFFF0000"/>
        </patternFill>
      </fill>
    </dxf>
    <dxf>
      <fill>
        <patternFill>
          <bgColor rgb="FF7030A0"/>
        </patternFill>
      </fill>
    </dxf>
    <dxf>
      <fill>
        <patternFill>
          <bgColor rgb="FFFFC000"/>
        </patternFill>
      </fill>
    </dxf>
    <dxf>
      <fill>
        <patternFill>
          <bgColor rgb="FFFF33CC"/>
        </patternFill>
      </fill>
    </dxf>
    <dxf>
      <fill>
        <patternFill>
          <bgColor theme="7" tint="-0.24994659260841701"/>
        </patternFill>
      </fill>
    </dxf>
    <dxf>
      <fill>
        <patternFill>
          <bgColor rgb="FFFFC000"/>
        </patternFill>
      </fill>
    </dxf>
    <dxf>
      <fill>
        <patternFill>
          <bgColor rgb="FF00B0F0"/>
        </patternFill>
      </fill>
    </dxf>
    <dxf>
      <fill>
        <patternFill>
          <bgColor rgb="FF00B050"/>
        </patternFill>
      </fill>
    </dxf>
    <dxf>
      <fill>
        <patternFill>
          <bgColor rgb="FFFF0000"/>
        </patternFill>
      </fill>
    </dxf>
    <dxf>
      <fill>
        <patternFill>
          <bgColor rgb="FF7030A0"/>
        </patternFill>
      </fill>
    </dxf>
    <dxf>
      <fill>
        <patternFill>
          <bgColor rgb="FFFFC000"/>
        </patternFill>
      </fill>
    </dxf>
    <dxf>
      <fill>
        <patternFill>
          <bgColor rgb="FFFF33CC"/>
        </patternFill>
      </fill>
    </dxf>
    <dxf>
      <fill>
        <patternFill>
          <bgColor theme="7" tint="-0.24994659260841701"/>
        </patternFill>
      </fill>
    </dxf>
    <dxf>
      <fill>
        <patternFill>
          <bgColor rgb="FFFFC000"/>
        </patternFill>
      </fill>
    </dxf>
    <dxf>
      <fill>
        <patternFill>
          <bgColor rgb="FF00B0F0"/>
        </patternFill>
      </fill>
    </dxf>
    <dxf>
      <fill>
        <patternFill>
          <bgColor rgb="FF00B050"/>
        </patternFill>
      </fill>
    </dxf>
    <dxf>
      <fill>
        <patternFill>
          <bgColor rgb="FFFF0000"/>
        </patternFill>
      </fill>
    </dxf>
    <dxf>
      <fill>
        <patternFill>
          <bgColor rgb="FF7030A0"/>
        </patternFill>
      </fill>
    </dxf>
    <dxf>
      <fill>
        <patternFill>
          <bgColor rgb="FFFFC000"/>
        </patternFill>
      </fill>
    </dxf>
    <dxf>
      <fill>
        <patternFill>
          <bgColor theme="7" tint="-0.24994659260841701"/>
        </patternFill>
      </fill>
    </dxf>
    <dxf>
      <fill>
        <patternFill>
          <bgColor rgb="FFFF33CC"/>
        </patternFill>
      </fill>
    </dxf>
    <dxf>
      <fill>
        <patternFill>
          <bgColor rgb="FFFFC000"/>
        </patternFill>
      </fill>
    </dxf>
    <dxf>
      <fill>
        <patternFill>
          <bgColor rgb="FF00B0F0"/>
        </patternFill>
      </fill>
    </dxf>
    <dxf>
      <fill>
        <patternFill>
          <bgColor rgb="FF00B050"/>
        </patternFill>
      </fill>
    </dxf>
    <dxf>
      <fill>
        <patternFill>
          <bgColor rgb="FFFF0000"/>
        </patternFill>
      </fill>
    </dxf>
    <dxf>
      <fill>
        <patternFill>
          <bgColor rgb="FF7030A0"/>
        </patternFill>
      </fill>
    </dxf>
    <dxf>
      <fill>
        <patternFill>
          <bgColor rgb="FFFFC000"/>
        </patternFill>
      </fill>
    </dxf>
    <dxf>
      <fill>
        <patternFill>
          <bgColor theme="7" tint="-0.24994659260841701"/>
        </patternFill>
      </fill>
    </dxf>
    <dxf>
      <fill>
        <patternFill>
          <bgColor rgb="FFFF33CC"/>
        </patternFill>
      </fill>
    </dxf>
    <dxf>
      <fill>
        <patternFill>
          <bgColor rgb="FFFF33CC"/>
        </patternFill>
      </fill>
    </dxf>
    <dxf>
      <fill>
        <patternFill>
          <bgColor theme="7" tint="-0.24994659260841701"/>
        </patternFill>
      </fill>
    </dxf>
    <dxf>
      <fill>
        <patternFill>
          <bgColor rgb="FFFFC000"/>
        </patternFill>
      </fill>
    </dxf>
    <dxf>
      <fill>
        <patternFill>
          <bgColor rgb="FF7030A0"/>
        </patternFill>
      </fill>
    </dxf>
    <dxf>
      <fill>
        <patternFill>
          <bgColor rgb="FFFF0000"/>
        </patternFill>
      </fill>
    </dxf>
    <dxf>
      <fill>
        <patternFill>
          <bgColor rgb="FF00B050"/>
        </patternFill>
      </fill>
    </dxf>
    <dxf>
      <fill>
        <patternFill>
          <bgColor rgb="FF00B0F0"/>
        </patternFill>
      </fill>
    </dxf>
    <dxf>
      <fill>
        <patternFill>
          <bgColor rgb="FFFFC000"/>
        </patternFill>
      </fill>
    </dxf>
    <dxf>
      <font>
        <b/>
        <i val="0"/>
      </font>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ont>
        <color theme="0"/>
      </font>
      <fill>
        <patternFill>
          <bgColor rgb="FF00B050"/>
        </patternFill>
      </fill>
    </dxf>
    <dxf>
      <fill>
        <patternFill>
          <bgColor rgb="FF00B050"/>
        </patternFill>
      </fill>
    </dxf>
    <dxf>
      <font>
        <b/>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strike val="0"/>
        <outline val="0"/>
        <shadow val="0"/>
        <u val="none"/>
        <vertAlign val="baseline"/>
        <sz val="12"/>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strike val="0"/>
        <outline val="0"/>
        <shadow val="0"/>
        <u val="none"/>
        <vertAlign val="baseline"/>
        <sz val="12"/>
        <color theme="1"/>
        <name val="Calibri"/>
        <family val="2"/>
        <scheme val="minor"/>
      </font>
      <alignment horizontal="center" vertical="bottom" textRotation="0" wrapText="0" indent="0" justifyLastLine="0" shrinkToFit="0" readingOrder="0"/>
    </dxf>
    <dxf>
      <numFmt numFmtId="167" formatCode="[$£-809]#,##0.00"/>
      <alignment horizontal="center" vertical="center" textRotation="0" wrapText="0" indent="0" justifyLastLine="0" shrinkToFit="0" readingOrder="0"/>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quot;$&quot;#,##0.00"/>
      <alignment horizontal="center" vertical="center" textRotation="0" wrapText="0" indent="0" justifyLastLine="0" shrinkToFit="0" readingOrder="0"/>
    </dxf>
    <dxf>
      <numFmt numFmtId="166" formatCode="&quot;$&quot;#,##0.00"/>
      <alignment horizontal="center" vertical="center" textRotation="0" wrapText="0" indent="0" justifyLastLine="0" shrinkToFit="0" readingOrder="0"/>
    </dxf>
    <dxf>
      <numFmt numFmtId="166" formatCode="&quot;$&quot;#,##0.00"/>
      <alignment horizontal="center" vertical="center" textRotation="0" wrapText="0" indent="0" justifyLastLine="0" shrinkToFit="0" readingOrder="0"/>
    </dxf>
    <dxf>
      <numFmt numFmtId="166" formatCode="&quot;$&quot;#,##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1" defaultTableStyle="TableStyleMedium2" defaultPivotStyle="PivotStyleLight16">
    <tableStyle name="Table Style 1" pivot="0" count="0" xr9:uid="{5F0DD549-387B-4F32-81BD-5009EB5C112B}"/>
  </tableStyles>
  <colors>
    <mruColors>
      <color rgb="FFFF33CC"/>
      <color rgb="FFF9F6FC"/>
      <color rgb="FFCC3399"/>
      <color rgb="FFA86ED4"/>
      <color rgb="FF3399FF"/>
      <color rgb="FFEADCF4"/>
      <color rgb="FF7BB31A"/>
      <color rgb="FFFEFFCD"/>
      <color rgb="FF669999"/>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'Monthly Income'!$E$6</c:f>
              <c:strCache>
                <c:ptCount val="1"/>
                <c:pt idx="0">
                  <c:v>Income  </c:v>
                </c:pt>
              </c:strCache>
            </c:strRef>
          </c:tx>
          <c:spPr>
            <a:solidFill>
              <a:schemeClr val="accent1">
                <a:alpha val="85000"/>
              </a:schemeClr>
            </a:solidFill>
            <a:ln w="9525" cap="flat" cmpd="sng" algn="ctr">
              <a:solidFill>
                <a:schemeClr val="lt1">
                  <a:alpha val="50000"/>
                </a:schemeClr>
              </a:solidFill>
              <a:round/>
            </a:ln>
            <a:effectLst/>
          </c:spPr>
          <c:invertIfNegative val="0"/>
          <c:cat>
            <c:strRef>
              <c:f>'Monthly Income'!$D$7:$D$18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Income'!$E$7:$E$18</c:f>
              <c:numCache>
                <c:formatCode>"$"#,##0.00</c:formatCode>
                <c:ptCount val="12"/>
                <c:pt idx="0">
                  <c:v>2504</c:v>
                </c:pt>
                <c:pt idx="1">
                  <c:v>2494</c:v>
                </c:pt>
                <c:pt idx="2">
                  <c:v>2142</c:v>
                </c:pt>
                <c:pt idx="3">
                  <c:v>2001</c:v>
                </c:pt>
                <c:pt idx="4">
                  <c:v>2362</c:v>
                </c:pt>
                <c:pt idx="5">
                  <c:v>2297</c:v>
                </c:pt>
                <c:pt idx="6">
                  <c:v>2787</c:v>
                </c:pt>
                <c:pt idx="7">
                  <c:v>2462</c:v>
                </c:pt>
                <c:pt idx="8">
                  <c:v>1964</c:v>
                </c:pt>
                <c:pt idx="9">
                  <c:v>2878</c:v>
                </c:pt>
                <c:pt idx="10">
                  <c:v>2541</c:v>
                </c:pt>
                <c:pt idx="11">
                  <c:v>2643</c:v>
                </c:pt>
              </c:numCache>
            </c:numRef>
          </c:val>
          <c:extLst>
            <c:ext xmlns:c16="http://schemas.microsoft.com/office/drawing/2014/chart" uri="{C3380CC4-5D6E-409C-BE32-E72D297353CC}">
              <c16:uniqueId val="{00000000-CD4C-434B-9EC4-A450FA8CD3F4}"/>
            </c:ext>
          </c:extLst>
        </c:ser>
        <c:ser>
          <c:idx val="1"/>
          <c:order val="1"/>
          <c:tx>
            <c:strRef>
              <c:f>'Monthly Income'!$F$6</c:f>
              <c:strCache>
                <c:ptCount val="1"/>
                <c:pt idx="0">
                  <c:v>Tax (20%)</c:v>
                </c:pt>
              </c:strCache>
            </c:strRef>
          </c:tx>
          <c:spPr>
            <a:solidFill>
              <a:schemeClr val="accent2">
                <a:alpha val="85000"/>
              </a:schemeClr>
            </a:solidFill>
            <a:ln w="9525" cap="flat" cmpd="sng" algn="ctr">
              <a:solidFill>
                <a:schemeClr val="lt1">
                  <a:alpha val="50000"/>
                </a:schemeClr>
              </a:solidFill>
              <a:round/>
            </a:ln>
            <a:effectLst/>
          </c:spPr>
          <c:invertIfNegative val="0"/>
          <c:cat>
            <c:strRef>
              <c:f>'Monthly Income'!$D$7:$D$18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Income'!$F$7:$F$18</c:f>
              <c:numCache>
                <c:formatCode>"$"#,##0.00</c:formatCode>
                <c:ptCount val="12"/>
                <c:pt idx="0">
                  <c:v>500.8</c:v>
                </c:pt>
                <c:pt idx="1">
                  <c:v>498.8</c:v>
                </c:pt>
                <c:pt idx="2">
                  <c:v>428.40000000000003</c:v>
                </c:pt>
                <c:pt idx="3">
                  <c:v>400.20000000000005</c:v>
                </c:pt>
                <c:pt idx="4">
                  <c:v>472.40000000000003</c:v>
                </c:pt>
                <c:pt idx="5">
                  <c:v>459.40000000000003</c:v>
                </c:pt>
                <c:pt idx="6">
                  <c:v>557.4</c:v>
                </c:pt>
                <c:pt idx="7">
                  <c:v>492.40000000000003</c:v>
                </c:pt>
                <c:pt idx="8">
                  <c:v>392.8</c:v>
                </c:pt>
                <c:pt idx="9">
                  <c:v>575.6</c:v>
                </c:pt>
                <c:pt idx="10">
                  <c:v>508.20000000000005</c:v>
                </c:pt>
                <c:pt idx="11">
                  <c:v>528.6</c:v>
                </c:pt>
              </c:numCache>
            </c:numRef>
          </c:val>
          <c:extLst>
            <c:ext xmlns:c16="http://schemas.microsoft.com/office/drawing/2014/chart" uri="{C3380CC4-5D6E-409C-BE32-E72D297353CC}">
              <c16:uniqueId val="{00000001-CD4C-434B-9EC4-A450FA8CD3F4}"/>
            </c:ext>
          </c:extLst>
        </c:ser>
        <c:ser>
          <c:idx val="2"/>
          <c:order val="2"/>
          <c:tx>
            <c:strRef>
              <c:f>'Monthly Income'!$G$6</c:f>
              <c:strCache>
                <c:ptCount val="1"/>
                <c:pt idx="0">
                  <c:v>Bills</c:v>
                </c:pt>
              </c:strCache>
            </c:strRef>
          </c:tx>
          <c:spPr>
            <a:solidFill>
              <a:schemeClr val="accent3">
                <a:alpha val="85000"/>
              </a:schemeClr>
            </a:solidFill>
            <a:ln w="9525" cap="flat" cmpd="sng" algn="ctr">
              <a:solidFill>
                <a:schemeClr val="lt1">
                  <a:alpha val="50000"/>
                </a:schemeClr>
              </a:solidFill>
              <a:round/>
            </a:ln>
            <a:effectLst/>
          </c:spPr>
          <c:invertIfNegative val="0"/>
          <c:cat>
            <c:strRef>
              <c:f>'Monthly Income'!$D$7:$D$18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Income'!$G$7:$G$18</c:f>
              <c:numCache>
                <c:formatCode>"$"#,##0.00</c:formatCode>
                <c:ptCount val="12"/>
                <c:pt idx="0">
                  <c:v>559</c:v>
                </c:pt>
                <c:pt idx="1">
                  <c:v>621</c:v>
                </c:pt>
                <c:pt idx="2">
                  <c:v>824</c:v>
                </c:pt>
                <c:pt idx="3">
                  <c:v>528</c:v>
                </c:pt>
                <c:pt idx="4">
                  <c:v>612</c:v>
                </c:pt>
                <c:pt idx="5">
                  <c:v>594</c:v>
                </c:pt>
                <c:pt idx="6">
                  <c:v>481</c:v>
                </c:pt>
                <c:pt idx="7">
                  <c:v>821</c:v>
                </c:pt>
                <c:pt idx="8">
                  <c:v>582</c:v>
                </c:pt>
                <c:pt idx="9">
                  <c:v>628</c:v>
                </c:pt>
                <c:pt idx="10">
                  <c:v>504</c:v>
                </c:pt>
                <c:pt idx="11">
                  <c:v>632</c:v>
                </c:pt>
              </c:numCache>
            </c:numRef>
          </c:val>
          <c:extLst>
            <c:ext xmlns:c16="http://schemas.microsoft.com/office/drawing/2014/chart" uri="{C3380CC4-5D6E-409C-BE32-E72D297353CC}">
              <c16:uniqueId val="{00000002-CD4C-434B-9EC4-A450FA8CD3F4}"/>
            </c:ext>
          </c:extLst>
        </c:ser>
        <c:ser>
          <c:idx val="3"/>
          <c:order val="3"/>
          <c:tx>
            <c:strRef>
              <c:f>'Monthly Income'!$H$6</c:f>
              <c:strCache>
                <c:ptCount val="1"/>
                <c:pt idx="0">
                  <c:v>Monthly Income</c:v>
                </c:pt>
              </c:strCache>
            </c:strRef>
          </c:tx>
          <c:spPr>
            <a:solidFill>
              <a:schemeClr val="accent4">
                <a:alpha val="85000"/>
              </a:schemeClr>
            </a:solidFill>
            <a:ln w="9525" cap="flat" cmpd="sng" algn="ctr">
              <a:solidFill>
                <a:schemeClr val="lt1">
                  <a:alpha val="50000"/>
                </a:schemeClr>
              </a:solidFill>
              <a:round/>
            </a:ln>
            <a:effectLst/>
          </c:spPr>
          <c:invertIfNegative val="0"/>
          <c:cat>
            <c:strRef>
              <c:f>'Monthly Income'!$D$7:$D$18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Income'!$H$7:$H$18</c:f>
              <c:numCache>
                <c:formatCode>"$"#,##0.00</c:formatCode>
                <c:ptCount val="12"/>
                <c:pt idx="0">
                  <c:v>1444.2</c:v>
                </c:pt>
                <c:pt idx="1">
                  <c:v>1374.2</c:v>
                </c:pt>
                <c:pt idx="2">
                  <c:v>889.59999999999991</c:v>
                </c:pt>
                <c:pt idx="3">
                  <c:v>1072.8</c:v>
                </c:pt>
                <c:pt idx="4">
                  <c:v>1277.5999999999999</c:v>
                </c:pt>
                <c:pt idx="5">
                  <c:v>1243.5999999999999</c:v>
                </c:pt>
                <c:pt idx="6">
                  <c:v>1748.6</c:v>
                </c:pt>
                <c:pt idx="7">
                  <c:v>1148.5999999999999</c:v>
                </c:pt>
                <c:pt idx="8">
                  <c:v>989.2</c:v>
                </c:pt>
                <c:pt idx="9">
                  <c:v>1674.4</c:v>
                </c:pt>
                <c:pt idx="10">
                  <c:v>1528.8</c:v>
                </c:pt>
                <c:pt idx="11">
                  <c:v>1482.4</c:v>
                </c:pt>
              </c:numCache>
            </c:numRef>
          </c:val>
          <c:extLst>
            <c:ext xmlns:c16="http://schemas.microsoft.com/office/drawing/2014/chart" uri="{C3380CC4-5D6E-409C-BE32-E72D297353CC}">
              <c16:uniqueId val="{00000003-CD4C-434B-9EC4-A450FA8CD3F4}"/>
            </c:ext>
          </c:extLst>
        </c:ser>
        <c:dLbls>
          <c:showLegendKey val="0"/>
          <c:showVal val="0"/>
          <c:showCatName val="0"/>
          <c:showSerName val="0"/>
          <c:showPercent val="0"/>
          <c:showBubbleSize val="0"/>
        </c:dLbls>
        <c:gapWidth val="65"/>
        <c:axId val="1793907744"/>
        <c:axId val="1793902944"/>
      </c:barChart>
      <c:catAx>
        <c:axId val="17939077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93902944"/>
        <c:crosses val="autoZero"/>
        <c:auto val="1"/>
        <c:lblAlgn val="ctr"/>
        <c:lblOffset val="100"/>
        <c:noMultiLvlLbl val="0"/>
      </c:catAx>
      <c:valAx>
        <c:axId val="17939029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17939077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50800" dir="5400000" algn="ctr" rotWithShape="0">
        <a:schemeClr val="tx1"/>
      </a:outerShdw>
    </a:effectLst>
    <a:scene3d>
      <a:camera prst="orthographicFront"/>
      <a:lightRig rig="threePt" dir="t"/>
    </a:scene3d>
    <a:sp3d>
      <a:bevelT w="31750" h="25400"/>
    </a:sp3d>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38-4411-9707-78706DDB425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438-4411-9707-78706DDB425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438-4411-9707-78706DDB425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438-4411-9707-78706DDB425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438-4411-9707-78706DDB425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438-4411-9707-78706DDB425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438-4411-9707-78706DDB425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438-4411-9707-78706DDB425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438-4411-9707-78706DDB425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438-4411-9707-78706DDB4256}"/>
              </c:ext>
            </c:extLst>
          </c:dPt>
          <c:cat>
            <c:strRef>
              <c:f>'Monthly Income'!$D$28:$D$37</c:f>
              <c:strCache>
                <c:ptCount val="10"/>
                <c:pt idx="0">
                  <c:v>Rent</c:v>
                </c:pt>
                <c:pt idx="1">
                  <c:v>Electricity</c:v>
                </c:pt>
                <c:pt idx="2">
                  <c:v>Gas</c:v>
                </c:pt>
                <c:pt idx="3">
                  <c:v>Water</c:v>
                </c:pt>
                <c:pt idx="4">
                  <c:v>Council Tax</c:v>
                </c:pt>
                <c:pt idx="5">
                  <c:v>Pet</c:v>
                </c:pt>
                <c:pt idx="6">
                  <c:v>Shrares</c:v>
                </c:pt>
                <c:pt idx="7">
                  <c:v>Car</c:v>
                </c:pt>
                <c:pt idx="8">
                  <c:v>Other</c:v>
                </c:pt>
                <c:pt idx="9">
                  <c:v>Finance</c:v>
                </c:pt>
              </c:strCache>
            </c:strRef>
          </c:cat>
          <c:val>
            <c:numRef>
              <c:f>'Monthly Income'!$E$28:$E$37</c:f>
              <c:numCache>
                <c:formatCode>[$£-809]#,##0.00</c:formatCode>
                <c:ptCount val="10"/>
                <c:pt idx="0">
                  <c:v>320</c:v>
                </c:pt>
                <c:pt idx="1">
                  <c:v>68</c:v>
                </c:pt>
                <c:pt idx="2">
                  <c:v>34</c:v>
                </c:pt>
                <c:pt idx="3">
                  <c:v>25</c:v>
                </c:pt>
                <c:pt idx="4">
                  <c:v>41</c:v>
                </c:pt>
                <c:pt idx="5">
                  <c:v>85</c:v>
                </c:pt>
                <c:pt idx="6">
                  <c:v>75</c:v>
                </c:pt>
                <c:pt idx="7">
                  <c:v>80</c:v>
                </c:pt>
                <c:pt idx="8">
                  <c:v>68</c:v>
                </c:pt>
                <c:pt idx="9">
                  <c:v>108</c:v>
                </c:pt>
              </c:numCache>
            </c:numRef>
          </c:val>
          <c:extLst>
            <c:ext xmlns:c16="http://schemas.microsoft.com/office/drawing/2014/chart" uri="{C3380CC4-5D6E-409C-BE32-E72D297353CC}">
              <c16:uniqueId val="{00000000-5227-4FF5-8082-3282BF32E1C8}"/>
            </c:ext>
          </c:extLst>
        </c:ser>
        <c:dLbls>
          <c:showLegendKey val="0"/>
          <c:showVal val="0"/>
          <c:showCatName val="0"/>
          <c:showSerName val="0"/>
          <c:showPercent val="0"/>
          <c:showBubbleSize val="0"/>
          <c:showLeaderLines val="1"/>
        </c:dLbls>
        <c:firstSliceAng val="0"/>
      </c:pieChart>
      <c:spPr>
        <a:noFill/>
        <a:ln>
          <a:noFill/>
        </a:ln>
        <a:effectLst/>
      </c:spPr>
    </c:plotArea>
    <c:legend>
      <c:legendPos val="l"/>
      <c:layout>
        <c:manualLayout>
          <c:xMode val="edge"/>
          <c:yMode val="edge"/>
          <c:x val="6.2034594533522572E-2"/>
          <c:y val="9.1680816234457063E-2"/>
          <c:w val="0.15496989272751097"/>
          <c:h val="0.816638367531085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215900" dist="12700" dir="3720000" algn="ctr" rotWithShape="0">
        <a:schemeClr val="tx1"/>
      </a:outerShdw>
    </a:effectLst>
    <a:scene3d>
      <a:camera prst="orthographicFront"/>
      <a:lightRig rig="threePt" dir="t"/>
    </a:scene3d>
    <a:sp3d>
      <a:bevelT w="25400" h="25400"/>
    </a:sp3d>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solidFill>
                  <a:schemeClr val="bg1"/>
                </a:solidFill>
              </a:rPr>
              <a:t>Average goals per player</a:t>
            </a:r>
          </a:p>
        </c:rich>
      </c:tx>
      <c:overlay val="0"/>
      <c:spPr>
        <a:solidFill>
          <a:schemeClr val="tx1">
            <a:lumMod val="95000"/>
            <a:lumOff val="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'Goals Example'!$D$53</c:f>
              <c:strCache>
                <c:ptCount val="1"/>
                <c:pt idx="0">
                  <c:v>Average goals</c:v>
                </c:pt>
              </c:strCache>
            </c:strRef>
          </c:tx>
          <c:spPr>
            <a:solidFill>
              <a:schemeClr val="accent1"/>
            </a:solidFill>
            <a:ln>
              <a:noFill/>
            </a:ln>
            <a:effectLst/>
            <a:scene3d>
              <a:camera prst="orthographicFront"/>
              <a:lightRig rig="threePt" dir="t"/>
            </a:scene3d>
            <a:sp3d>
              <a:bevelT w="38100" h="38100"/>
            </a:sp3d>
          </c:spPr>
          <c:invertIfNegative val="0"/>
          <c:cat>
            <c:strRef>
              <c:f>'Goals Example'!$C$54:$C$63</c:f>
              <c:strCache>
                <c:ptCount val="10"/>
                <c:pt idx="0">
                  <c:v>Mike</c:v>
                </c:pt>
                <c:pt idx="1">
                  <c:v>Steve</c:v>
                </c:pt>
                <c:pt idx="2">
                  <c:v>Linda</c:v>
                </c:pt>
                <c:pt idx="3">
                  <c:v>Angela</c:v>
                </c:pt>
                <c:pt idx="4">
                  <c:v>Peter</c:v>
                </c:pt>
                <c:pt idx="5">
                  <c:v>Vikus</c:v>
                </c:pt>
                <c:pt idx="6">
                  <c:v>Warrick</c:v>
                </c:pt>
                <c:pt idx="7">
                  <c:v>Richard</c:v>
                </c:pt>
                <c:pt idx="8">
                  <c:v>Rachael</c:v>
                </c:pt>
                <c:pt idx="9">
                  <c:v>Meline</c:v>
                </c:pt>
              </c:strCache>
            </c:strRef>
          </c:cat>
          <c:val>
            <c:numRef>
              <c:f>'Goals Example'!$D$54:$D$63</c:f>
              <c:numCache>
                <c:formatCode>0.00</c:formatCode>
                <c:ptCount val="10"/>
                <c:pt idx="0">
                  <c:v>2.75</c:v>
                </c:pt>
                <c:pt idx="1">
                  <c:v>6.083333333333333</c:v>
                </c:pt>
                <c:pt idx="2">
                  <c:v>5.583333333333333</c:v>
                </c:pt>
                <c:pt idx="3">
                  <c:v>5.583333333333333</c:v>
                </c:pt>
                <c:pt idx="4">
                  <c:v>5.833333333333333</c:v>
                </c:pt>
                <c:pt idx="5">
                  <c:v>4.75</c:v>
                </c:pt>
                <c:pt idx="6">
                  <c:v>4.25</c:v>
                </c:pt>
                <c:pt idx="7">
                  <c:v>2.5833333333333335</c:v>
                </c:pt>
                <c:pt idx="8">
                  <c:v>4.083333333333333</c:v>
                </c:pt>
                <c:pt idx="9">
                  <c:v>2.0833333333333335</c:v>
                </c:pt>
              </c:numCache>
            </c:numRef>
          </c:val>
          <c:extLst>
            <c:ext xmlns:c16="http://schemas.microsoft.com/office/drawing/2014/chart" uri="{C3380CC4-5D6E-409C-BE32-E72D297353CC}">
              <c16:uniqueId val="{00000000-EB2B-4B1F-9757-D07FEF20A3F5}"/>
            </c:ext>
          </c:extLst>
        </c:ser>
        <c:dLbls>
          <c:showLegendKey val="0"/>
          <c:showVal val="0"/>
          <c:showCatName val="0"/>
          <c:showSerName val="0"/>
          <c:showPercent val="0"/>
          <c:showBubbleSize val="0"/>
        </c:dLbls>
        <c:gapWidth val="219"/>
        <c:overlap val="-27"/>
        <c:axId val="326056008"/>
        <c:axId val="326055024"/>
      </c:barChart>
      <c:catAx>
        <c:axId val="326056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55024"/>
        <c:crosses val="autoZero"/>
        <c:auto val="1"/>
        <c:lblAlgn val="ctr"/>
        <c:lblOffset val="100"/>
        <c:noMultiLvlLbl val="0"/>
      </c:catAx>
      <c:valAx>
        <c:axId val="326055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56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127000" dist="63500" dir="3600000" algn="ctr" rotWithShape="0">
        <a:schemeClr val="tx1"/>
      </a:outerShdw>
    </a:effectLst>
    <a:scene3d>
      <a:camera prst="orthographicFront"/>
      <a:lightRig rig="threePt" dir="t"/>
    </a:scene3d>
    <a:sp3d>
      <a:bevelT w="44450" h="44450"/>
    </a:sp3d>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Average</a:t>
            </a:r>
            <a:r>
              <a:rPr lang="en-IN" baseline="0">
                <a:solidFill>
                  <a:schemeClr val="bg1"/>
                </a:solidFill>
              </a:rPr>
              <a:t> goals per player</a:t>
            </a:r>
            <a:r>
              <a:rPr lang="en-IN">
                <a:solidFill>
                  <a:schemeClr val="bg1"/>
                </a:solidFill>
              </a:rPr>
              <a:t> </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'Goals exercise'!$K$24</c:f>
              <c:strCache>
                <c:ptCount val="1"/>
                <c:pt idx="0">
                  <c:v>Average goals</c:v>
                </c:pt>
              </c:strCache>
            </c:strRef>
          </c:tx>
          <c:spPr>
            <a:solidFill>
              <a:schemeClr val="accent1"/>
            </a:solidFill>
            <a:ln>
              <a:noFill/>
            </a:ln>
            <a:effectLst/>
            <a:scene3d>
              <a:camera prst="orthographicFront"/>
              <a:lightRig rig="threePt" dir="t"/>
            </a:scene3d>
            <a:sp3d>
              <a:bevelT w="25400" h="25400"/>
            </a:sp3d>
          </c:spPr>
          <c:invertIfNegative val="0"/>
          <c:cat>
            <c:strRef>
              <c:f>'Goals exercise'!$J$25:$J$34</c:f>
              <c:strCache>
                <c:ptCount val="10"/>
                <c:pt idx="0">
                  <c:v>Mike</c:v>
                </c:pt>
                <c:pt idx="1">
                  <c:v>Steve</c:v>
                </c:pt>
                <c:pt idx="2">
                  <c:v>Linda</c:v>
                </c:pt>
                <c:pt idx="3">
                  <c:v>Angela</c:v>
                </c:pt>
                <c:pt idx="4">
                  <c:v>Peter</c:v>
                </c:pt>
                <c:pt idx="5">
                  <c:v>Vikus</c:v>
                </c:pt>
                <c:pt idx="6">
                  <c:v>Warrick</c:v>
                </c:pt>
                <c:pt idx="7">
                  <c:v>Richard</c:v>
                </c:pt>
                <c:pt idx="8">
                  <c:v>Rachael</c:v>
                </c:pt>
                <c:pt idx="9">
                  <c:v>Meline</c:v>
                </c:pt>
              </c:strCache>
            </c:strRef>
          </c:cat>
          <c:val>
            <c:numRef>
              <c:f>'Goals exercise'!$K$25:$K$34</c:f>
              <c:numCache>
                <c:formatCode>General</c:formatCode>
                <c:ptCount val="10"/>
                <c:pt idx="0">
                  <c:v>2.75</c:v>
                </c:pt>
                <c:pt idx="1">
                  <c:v>6.08</c:v>
                </c:pt>
                <c:pt idx="2">
                  <c:v>5.58</c:v>
                </c:pt>
                <c:pt idx="3">
                  <c:v>5.58</c:v>
                </c:pt>
                <c:pt idx="4">
                  <c:v>5.83</c:v>
                </c:pt>
                <c:pt idx="5">
                  <c:v>4.75</c:v>
                </c:pt>
                <c:pt idx="6">
                  <c:v>4.25</c:v>
                </c:pt>
                <c:pt idx="7">
                  <c:v>2.58</c:v>
                </c:pt>
                <c:pt idx="8">
                  <c:v>4.08</c:v>
                </c:pt>
                <c:pt idx="9">
                  <c:v>2.08</c:v>
                </c:pt>
              </c:numCache>
            </c:numRef>
          </c:val>
          <c:extLst>
            <c:ext xmlns:c16="http://schemas.microsoft.com/office/drawing/2014/chart" uri="{C3380CC4-5D6E-409C-BE32-E72D297353CC}">
              <c16:uniqueId val="{00000000-CAEA-4EA4-AEAF-472FAF6C79E2}"/>
            </c:ext>
          </c:extLst>
        </c:ser>
        <c:dLbls>
          <c:showLegendKey val="0"/>
          <c:showVal val="0"/>
          <c:showCatName val="0"/>
          <c:showSerName val="0"/>
          <c:showPercent val="0"/>
          <c:showBubbleSize val="0"/>
        </c:dLbls>
        <c:gapWidth val="219"/>
        <c:overlap val="-27"/>
        <c:axId val="1005625359"/>
        <c:axId val="1005621999"/>
      </c:barChart>
      <c:catAx>
        <c:axId val="100562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621999"/>
        <c:crosses val="autoZero"/>
        <c:auto val="1"/>
        <c:lblAlgn val="ctr"/>
        <c:lblOffset val="100"/>
        <c:noMultiLvlLbl val="0"/>
      </c:catAx>
      <c:valAx>
        <c:axId val="1005621999"/>
        <c:scaling>
          <c:orientation val="minMax"/>
          <c:max val="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6253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50800" dir="2640000" algn="ctr" rotWithShape="0">
        <a:srgbClr val="000000">
          <a:alpha val="76000"/>
        </a:srgbClr>
      </a:outerShdw>
    </a:effectLst>
    <a:scene3d>
      <a:camera prst="orthographicFront"/>
      <a:lightRig rig="threePt" dir="t"/>
    </a:scene3d>
    <a:sp3d>
      <a:bevelT w="25400" h="25400"/>
    </a:sp3d>
  </c:spPr>
  <c:txPr>
    <a:bodyPr/>
    <a:lstStyle/>
    <a:p>
      <a:pPr>
        <a:defRPr/>
      </a:pPr>
      <a:endParaRPr lang="en-US"/>
    </a:p>
  </c:txPr>
  <c:printSettings>
    <c:headerFooter/>
    <c:pageMargins b="0.75" l="0.7" r="0.7" t="0.75" header="0.3" footer="0.3"/>
    <c:pageSetup paperSize="9" orientation="landscape"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solidFill>
                  <a:schemeClr val="bg1"/>
                </a:solidFill>
              </a:rPr>
              <a:t>Average goals per player</a:t>
            </a:r>
          </a:p>
        </c:rich>
      </c:tx>
      <c:overlay val="0"/>
      <c:spPr>
        <a:solidFill>
          <a:schemeClr val="tx2">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'[2]Goals Example'!$D$53</c:f>
              <c:strCache>
                <c:ptCount val="1"/>
                <c:pt idx="0">
                  <c:v>Average goals</c:v>
                </c:pt>
              </c:strCache>
            </c:strRef>
          </c:tx>
          <c:spPr>
            <a:solidFill>
              <a:schemeClr val="accent1"/>
            </a:solidFill>
            <a:ln>
              <a:noFill/>
            </a:ln>
            <a:effectLst/>
            <a:scene3d>
              <a:camera prst="orthographicFront"/>
              <a:lightRig rig="threePt" dir="t"/>
            </a:scene3d>
            <a:sp3d>
              <a:bevelT w="44450"/>
            </a:sp3d>
          </c:spPr>
          <c:invertIfNegative val="0"/>
          <c:cat>
            <c:strRef>
              <c:f>'[2]Goals Example'!$C$54:$C$63</c:f>
              <c:strCache>
                <c:ptCount val="10"/>
                <c:pt idx="0">
                  <c:v>Mike</c:v>
                </c:pt>
                <c:pt idx="1">
                  <c:v>Steve</c:v>
                </c:pt>
                <c:pt idx="2">
                  <c:v>Linda</c:v>
                </c:pt>
                <c:pt idx="3">
                  <c:v>Angela</c:v>
                </c:pt>
                <c:pt idx="4">
                  <c:v>Peter</c:v>
                </c:pt>
                <c:pt idx="5">
                  <c:v>Vikus</c:v>
                </c:pt>
                <c:pt idx="6">
                  <c:v>Warrick</c:v>
                </c:pt>
                <c:pt idx="7">
                  <c:v>Richard</c:v>
                </c:pt>
                <c:pt idx="8">
                  <c:v>Rachael</c:v>
                </c:pt>
                <c:pt idx="9">
                  <c:v>Meline</c:v>
                </c:pt>
              </c:strCache>
            </c:strRef>
          </c:cat>
          <c:val>
            <c:numRef>
              <c:f>'[2]Goals Example'!$D$54:$D$63</c:f>
              <c:numCache>
                <c:formatCode>General</c:formatCode>
                <c:ptCount val="10"/>
                <c:pt idx="0">
                  <c:v>2.75</c:v>
                </c:pt>
                <c:pt idx="1">
                  <c:v>6.083333333333333</c:v>
                </c:pt>
                <c:pt idx="2">
                  <c:v>5.583333333333333</c:v>
                </c:pt>
                <c:pt idx="3">
                  <c:v>5.583333333333333</c:v>
                </c:pt>
                <c:pt idx="4">
                  <c:v>5.833333333333333</c:v>
                </c:pt>
                <c:pt idx="5">
                  <c:v>4.75</c:v>
                </c:pt>
                <c:pt idx="6">
                  <c:v>4.25</c:v>
                </c:pt>
                <c:pt idx="7">
                  <c:v>2.5833333333333335</c:v>
                </c:pt>
                <c:pt idx="8">
                  <c:v>4.083333333333333</c:v>
                </c:pt>
                <c:pt idx="9">
                  <c:v>2.0833333333333335</c:v>
                </c:pt>
              </c:numCache>
            </c:numRef>
          </c:val>
          <c:extLst>
            <c:ext xmlns:c16="http://schemas.microsoft.com/office/drawing/2014/chart" uri="{C3380CC4-5D6E-409C-BE32-E72D297353CC}">
              <c16:uniqueId val="{00000000-05FC-4F66-8973-A5F2E787CD87}"/>
            </c:ext>
          </c:extLst>
        </c:ser>
        <c:dLbls>
          <c:showLegendKey val="0"/>
          <c:showVal val="0"/>
          <c:showCatName val="0"/>
          <c:showSerName val="0"/>
          <c:showPercent val="0"/>
          <c:showBubbleSize val="0"/>
        </c:dLbls>
        <c:gapWidth val="219"/>
        <c:overlap val="-27"/>
        <c:axId val="326056008"/>
        <c:axId val="326055024"/>
      </c:barChart>
      <c:catAx>
        <c:axId val="326056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6055024"/>
        <c:crosses val="autoZero"/>
        <c:auto val="1"/>
        <c:lblAlgn val="ctr"/>
        <c:lblOffset val="100"/>
        <c:noMultiLvlLbl val="0"/>
      </c:catAx>
      <c:valAx>
        <c:axId val="32605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6056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dist="63500" dir="3600000" algn="ctr" rotWithShape="0">
        <a:schemeClr val="tx1"/>
      </a:outerShdw>
    </a:effectLst>
    <a:scene3d>
      <a:camera prst="orthographicFront"/>
      <a:lightRig rig="threePt" dir="t"/>
    </a:scene3d>
    <a:sp3d>
      <a:bevelT w="44450" h="44450"/>
    </a:sp3d>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References!A1"/><Relationship Id="rId13" Type="http://schemas.openxmlformats.org/officeDocument/2006/relationships/hyperlink" Target="#'F &amp; F 1'!A1"/><Relationship Id="rId3" Type="http://schemas.openxmlformats.org/officeDocument/2006/relationships/hyperlink" Target="#Vlookup!A1"/><Relationship Id="rId7" Type="http://schemas.openxmlformats.org/officeDocument/2006/relationships/hyperlink" Target="#Subtotalling!A1"/><Relationship Id="rId12" Type="http://schemas.openxmlformats.org/officeDocument/2006/relationships/hyperlink" Target="#'Goals Printing'!A1"/><Relationship Id="rId2" Type="http://schemas.openxmlformats.org/officeDocument/2006/relationships/hyperlink" Target="#IfAndOr!A1"/><Relationship Id="rId16" Type="http://schemas.openxmlformats.org/officeDocument/2006/relationships/hyperlink" Target="#'F &amp; F Exercise Solution'!A1"/><Relationship Id="rId1" Type="http://schemas.openxmlformats.org/officeDocument/2006/relationships/hyperlink" Target="#'Goals Example'!A1"/><Relationship Id="rId6" Type="http://schemas.openxmlformats.org/officeDocument/2006/relationships/hyperlink" Target="#'Goals exercise'!A1"/><Relationship Id="rId11" Type="http://schemas.openxmlformats.org/officeDocument/2006/relationships/hyperlink" Target="#'Nav Pane'!A1"/><Relationship Id="rId5" Type="http://schemas.openxmlformats.org/officeDocument/2006/relationships/hyperlink" Target="#Concatenate!A1"/><Relationship Id="rId15" Type="http://schemas.openxmlformats.org/officeDocument/2006/relationships/hyperlink" Target="#'F &amp; F Exercise'!A1"/><Relationship Id="rId10" Type="http://schemas.openxmlformats.org/officeDocument/2006/relationships/hyperlink" Target="#'eBay Profit Loss'!A1"/><Relationship Id="rId4" Type="http://schemas.openxmlformats.org/officeDocument/2006/relationships/hyperlink" Target="#'IF Function'!A1"/><Relationship Id="rId9" Type="http://schemas.openxmlformats.org/officeDocument/2006/relationships/hyperlink" Target="#'Monthly income'!A1"/><Relationship Id="rId14" Type="http://schemas.openxmlformats.org/officeDocument/2006/relationships/hyperlink" Target="#'F &amp; F 2'!A1"/></Relationships>
</file>

<file path=xl/drawings/_rels/drawing2.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3.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Navigation!A1"/></Relationships>
</file>

<file path=xl/drawings/_rels/drawing5.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6.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7.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8.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hyperlink" Target="#Navigation!A1"/></Relationships>
</file>

<file path=xl/drawings/_rels/drawing9.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10.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11.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12.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13.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14.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1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hyperlink" Target="#'Goals exercise'!A1"/><Relationship Id="rId1" Type="http://schemas.openxmlformats.org/officeDocument/2006/relationships/hyperlink" Target="#Navigation!A1"/></Relationships>
</file>

<file path=xl/drawings/_rels/drawing1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Goals Example'!A1"/><Relationship Id="rId1" Type="http://schemas.openxmlformats.org/officeDocument/2006/relationships/hyperlink" Target="#Navigation!A1"/></Relationships>
</file>

<file path=xl/drawings/_rels/drawing17.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hyperlink" Target="#'Goals exercise'!A1"/><Relationship Id="rId1" Type="http://schemas.openxmlformats.org/officeDocument/2006/relationships/hyperlink" Target="#Navigation!A1"/></Relationships>
</file>

<file path=xl/drawings/drawing1.xml><?xml version="1.0" encoding="utf-8"?>
<xdr:wsDr xmlns:xdr="http://schemas.openxmlformats.org/drawingml/2006/spreadsheetDrawing" xmlns:a="http://schemas.openxmlformats.org/drawingml/2006/main">
  <xdr:twoCellAnchor>
    <xdr:from>
      <xdr:col>0</xdr:col>
      <xdr:colOff>370454</xdr:colOff>
      <xdr:row>32</xdr:row>
      <xdr:rowOff>45507</xdr:rowOff>
    </xdr:from>
    <xdr:to>
      <xdr:col>3</xdr:col>
      <xdr:colOff>86060</xdr:colOff>
      <xdr:row>41</xdr:row>
      <xdr:rowOff>142958</xdr:rowOff>
    </xdr:to>
    <xdr:sp macro="" textlink="">
      <xdr:nvSpPr>
        <xdr:cNvPr id="36" name="Oval 35">
          <a:extLst>
            <a:ext uri="{FF2B5EF4-FFF2-40B4-BE49-F238E27FC236}">
              <a16:creationId xmlns:a16="http://schemas.microsoft.com/office/drawing/2014/main" id="{2650963E-C53F-408D-AC06-6E251DF44609}"/>
            </a:ext>
          </a:extLst>
        </xdr:cNvPr>
        <xdr:cNvSpPr/>
      </xdr:nvSpPr>
      <xdr:spPr>
        <a:xfrm rot="19276817">
          <a:off x="370454" y="6389734"/>
          <a:ext cx="1637924" cy="1759997"/>
        </a:xfrm>
        <a:prstGeom prst="ellipse">
          <a:avLst/>
        </a:prstGeom>
        <a:solidFill>
          <a:schemeClr val="bg1">
            <a:alpha val="3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531089</xdr:colOff>
      <xdr:row>29</xdr:row>
      <xdr:rowOff>173963</xdr:rowOff>
    </xdr:from>
    <xdr:to>
      <xdr:col>15</xdr:col>
      <xdr:colOff>543981</xdr:colOff>
      <xdr:row>43</xdr:row>
      <xdr:rowOff>132413</xdr:rowOff>
    </xdr:to>
    <xdr:sp macro="" textlink="">
      <xdr:nvSpPr>
        <xdr:cNvPr id="38" name="Oval 37">
          <a:extLst>
            <a:ext uri="{FF2B5EF4-FFF2-40B4-BE49-F238E27FC236}">
              <a16:creationId xmlns:a16="http://schemas.microsoft.com/office/drawing/2014/main" id="{0384795F-7618-499E-B2FC-42F3BA863E44}"/>
            </a:ext>
          </a:extLst>
        </xdr:cNvPr>
        <xdr:cNvSpPr/>
      </xdr:nvSpPr>
      <xdr:spPr>
        <a:xfrm rot="2520092">
          <a:off x="7579589" y="5964008"/>
          <a:ext cx="2575983" cy="2544632"/>
        </a:xfrm>
        <a:prstGeom prst="ellipse">
          <a:avLst/>
        </a:prstGeom>
        <a:solidFill>
          <a:schemeClr val="bg1">
            <a:alpha val="3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490394</xdr:colOff>
      <xdr:row>26</xdr:row>
      <xdr:rowOff>143453</xdr:rowOff>
    </xdr:from>
    <xdr:to>
      <xdr:col>8</xdr:col>
      <xdr:colOff>473365</xdr:colOff>
      <xdr:row>34</xdr:row>
      <xdr:rowOff>0</xdr:rowOff>
    </xdr:to>
    <xdr:sp macro="" textlink="">
      <xdr:nvSpPr>
        <xdr:cNvPr id="32" name="Oval 31">
          <a:extLst>
            <a:ext uri="{FF2B5EF4-FFF2-40B4-BE49-F238E27FC236}">
              <a16:creationId xmlns:a16="http://schemas.microsoft.com/office/drawing/2014/main" id="{05854977-7BF8-49D6-AC64-9D0C08647F6F}"/>
            </a:ext>
          </a:extLst>
        </xdr:cNvPr>
        <xdr:cNvSpPr/>
      </xdr:nvSpPr>
      <xdr:spPr>
        <a:xfrm rot="19441168">
          <a:off x="3053485" y="5379317"/>
          <a:ext cx="2546062" cy="1334365"/>
        </a:xfrm>
        <a:prstGeom prst="ellipse">
          <a:avLst/>
        </a:prstGeom>
        <a:solidFill>
          <a:schemeClr val="bg1">
            <a:alpha val="3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139700</xdr:colOff>
      <xdr:row>2</xdr:row>
      <xdr:rowOff>609600</xdr:rowOff>
    </xdr:from>
    <xdr:to>
      <xdr:col>1</xdr:col>
      <xdr:colOff>400050</xdr:colOff>
      <xdr:row>6</xdr:row>
      <xdr:rowOff>114300</xdr:rowOff>
    </xdr:to>
    <xdr:sp macro="" textlink="">
      <xdr:nvSpPr>
        <xdr:cNvPr id="25" name="Oval 24">
          <a:extLst>
            <a:ext uri="{FF2B5EF4-FFF2-40B4-BE49-F238E27FC236}">
              <a16:creationId xmlns:a16="http://schemas.microsoft.com/office/drawing/2014/main" id="{F546ACF2-FDD1-4B86-94CD-ACA5B3C4DB43}"/>
            </a:ext>
          </a:extLst>
        </xdr:cNvPr>
        <xdr:cNvSpPr/>
      </xdr:nvSpPr>
      <xdr:spPr>
        <a:xfrm>
          <a:off x="139700" y="800100"/>
          <a:ext cx="869950" cy="866775"/>
        </a:xfrm>
        <a:prstGeom prst="ellipse">
          <a:avLst/>
        </a:prstGeom>
        <a:solidFill>
          <a:schemeClr val="bg1">
            <a:alpha val="3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444499</xdr:colOff>
      <xdr:row>19</xdr:row>
      <xdr:rowOff>63500</xdr:rowOff>
    </xdr:from>
    <xdr:to>
      <xdr:col>6</xdr:col>
      <xdr:colOff>428624</xdr:colOff>
      <xdr:row>23</xdr:row>
      <xdr:rowOff>152400</xdr:rowOff>
    </xdr:to>
    <xdr:sp macro="" textlink="">
      <xdr:nvSpPr>
        <xdr:cNvPr id="26" name="Oval 25">
          <a:extLst>
            <a:ext uri="{FF2B5EF4-FFF2-40B4-BE49-F238E27FC236}">
              <a16:creationId xmlns:a16="http://schemas.microsoft.com/office/drawing/2014/main" id="{DBAB6604-36AD-41EB-BEEA-C7B27BF554C9}"/>
            </a:ext>
          </a:extLst>
        </xdr:cNvPr>
        <xdr:cNvSpPr/>
      </xdr:nvSpPr>
      <xdr:spPr>
        <a:xfrm>
          <a:off x="2882899" y="4092575"/>
          <a:ext cx="1203325" cy="850900"/>
        </a:xfrm>
        <a:prstGeom prst="ellipse">
          <a:avLst/>
        </a:prstGeom>
        <a:solidFill>
          <a:schemeClr val="bg1">
            <a:alpha val="3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581024</xdr:colOff>
      <xdr:row>4</xdr:row>
      <xdr:rowOff>57150</xdr:rowOff>
    </xdr:from>
    <xdr:to>
      <xdr:col>8</xdr:col>
      <xdr:colOff>171449</xdr:colOff>
      <xdr:row>13</xdr:row>
      <xdr:rowOff>133351</xdr:rowOff>
    </xdr:to>
    <xdr:sp macro="" textlink="">
      <xdr:nvSpPr>
        <xdr:cNvPr id="24" name="Oval 23">
          <a:extLst>
            <a:ext uri="{FF2B5EF4-FFF2-40B4-BE49-F238E27FC236}">
              <a16:creationId xmlns:a16="http://schemas.microsoft.com/office/drawing/2014/main" id="{178D745F-B474-4562-8766-5616590B5B83}"/>
            </a:ext>
          </a:extLst>
        </xdr:cNvPr>
        <xdr:cNvSpPr/>
      </xdr:nvSpPr>
      <xdr:spPr>
        <a:xfrm>
          <a:off x="3019424" y="1228725"/>
          <a:ext cx="2028825" cy="1790701"/>
        </a:xfrm>
        <a:prstGeom prst="ellipse">
          <a:avLst/>
        </a:prstGeom>
        <a:solidFill>
          <a:schemeClr val="bg1">
            <a:alpha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130174</xdr:colOff>
      <xdr:row>11</xdr:row>
      <xdr:rowOff>120650</xdr:rowOff>
    </xdr:from>
    <xdr:to>
      <xdr:col>11</xdr:col>
      <xdr:colOff>38099</xdr:colOff>
      <xdr:row>18</xdr:row>
      <xdr:rowOff>161925</xdr:rowOff>
    </xdr:to>
    <xdr:sp macro="" textlink="">
      <xdr:nvSpPr>
        <xdr:cNvPr id="23" name="Oval 22">
          <a:extLst>
            <a:ext uri="{FF2B5EF4-FFF2-40B4-BE49-F238E27FC236}">
              <a16:creationId xmlns:a16="http://schemas.microsoft.com/office/drawing/2014/main" id="{B3FC451F-B863-4DDB-BD8C-344B3286BB21}"/>
            </a:ext>
          </a:extLst>
        </xdr:cNvPr>
        <xdr:cNvSpPr/>
      </xdr:nvSpPr>
      <xdr:spPr>
        <a:xfrm>
          <a:off x="5616574" y="2625725"/>
          <a:ext cx="1127125" cy="1374775"/>
        </a:xfrm>
        <a:prstGeom prst="ellipse">
          <a:avLst/>
        </a:prstGeom>
        <a:solidFill>
          <a:schemeClr val="bg1">
            <a:alpha val="3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10</xdr:row>
      <xdr:rowOff>97678</xdr:rowOff>
    </xdr:from>
    <xdr:to>
      <xdr:col>3</xdr:col>
      <xdr:colOff>203200</xdr:colOff>
      <xdr:row>21</xdr:row>
      <xdr:rowOff>2429</xdr:rowOff>
    </xdr:to>
    <xdr:sp macro="" textlink="">
      <xdr:nvSpPr>
        <xdr:cNvPr id="18" name="Oval 17">
          <a:extLst>
            <a:ext uri="{FF2B5EF4-FFF2-40B4-BE49-F238E27FC236}">
              <a16:creationId xmlns:a16="http://schemas.microsoft.com/office/drawing/2014/main" id="{CFABAA43-1FD4-4C77-95A8-A8C181C3D862}"/>
            </a:ext>
          </a:extLst>
        </xdr:cNvPr>
        <xdr:cNvSpPr/>
      </xdr:nvSpPr>
      <xdr:spPr>
        <a:xfrm>
          <a:off x="0" y="2391149"/>
          <a:ext cx="2119406" cy="1959162"/>
        </a:xfrm>
        <a:prstGeom prst="ellipse">
          <a:avLst/>
        </a:prstGeom>
        <a:solidFill>
          <a:schemeClr val="bg1">
            <a:alpha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6350</xdr:colOff>
      <xdr:row>2</xdr:row>
      <xdr:rowOff>339725</xdr:rowOff>
    </xdr:from>
    <xdr:to>
      <xdr:col>14</xdr:col>
      <xdr:colOff>590550</xdr:colOff>
      <xdr:row>9</xdr:row>
      <xdr:rowOff>79375</xdr:rowOff>
    </xdr:to>
    <xdr:sp macro="" textlink="">
      <xdr:nvSpPr>
        <xdr:cNvPr id="20" name="Oval 19">
          <a:extLst>
            <a:ext uri="{FF2B5EF4-FFF2-40B4-BE49-F238E27FC236}">
              <a16:creationId xmlns:a16="http://schemas.microsoft.com/office/drawing/2014/main" id="{CB5BC6A9-EB6B-4C4A-A9BF-F192AE8E3E72}"/>
            </a:ext>
          </a:extLst>
        </xdr:cNvPr>
        <xdr:cNvSpPr/>
      </xdr:nvSpPr>
      <xdr:spPr>
        <a:xfrm>
          <a:off x="6711950" y="530225"/>
          <a:ext cx="2413000" cy="1673225"/>
        </a:xfrm>
        <a:prstGeom prst="ellipse">
          <a:avLst/>
        </a:prstGeom>
        <a:solidFill>
          <a:schemeClr val="bg1">
            <a:alpha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126775</xdr:colOff>
      <xdr:row>8</xdr:row>
      <xdr:rowOff>160559</xdr:rowOff>
    </xdr:from>
    <xdr:to>
      <xdr:col>13</xdr:col>
      <xdr:colOff>493323</xdr:colOff>
      <xdr:row>11</xdr:row>
      <xdr:rowOff>32915</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F9C0E18B-6995-4E27-9BEC-8215AF051E90}"/>
            </a:ext>
          </a:extLst>
        </xdr:cNvPr>
        <xdr:cNvSpPr/>
      </xdr:nvSpPr>
      <xdr:spPr>
        <a:xfrm>
          <a:off x="6514128" y="2080500"/>
          <a:ext cx="2282754" cy="432650"/>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t>Goals</a:t>
          </a:r>
          <a:r>
            <a:rPr lang="en-GB" sz="2000" baseline="0"/>
            <a:t> Example</a:t>
          </a:r>
          <a:endParaRPr lang="en-GB" sz="2000"/>
        </a:p>
      </xdr:txBody>
    </xdr:sp>
    <xdr:clientData/>
  </xdr:twoCellAnchor>
  <xdr:twoCellAnchor>
    <xdr:from>
      <xdr:col>6</xdr:col>
      <xdr:colOff>77261</xdr:colOff>
      <xdr:row>5</xdr:row>
      <xdr:rowOff>48532</xdr:rowOff>
    </xdr:from>
    <xdr:to>
      <xdr:col>9</xdr:col>
      <xdr:colOff>443809</xdr:colOff>
      <xdr:row>7</xdr:row>
      <xdr:rowOff>107653</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675A2669-86B9-4F6D-A22E-A32C45669E0E}"/>
            </a:ext>
          </a:extLst>
        </xdr:cNvPr>
        <xdr:cNvSpPr/>
      </xdr:nvSpPr>
      <xdr:spPr>
        <a:xfrm>
          <a:off x="3909673" y="1408179"/>
          <a:ext cx="2282754" cy="432650"/>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t>If/And/Or</a:t>
          </a:r>
        </a:p>
      </xdr:txBody>
    </xdr:sp>
    <xdr:clientData/>
  </xdr:twoCellAnchor>
  <xdr:twoCellAnchor>
    <xdr:from>
      <xdr:col>6</xdr:col>
      <xdr:colOff>82647</xdr:colOff>
      <xdr:row>12</xdr:row>
      <xdr:rowOff>61094</xdr:rowOff>
    </xdr:from>
    <xdr:to>
      <xdr:col>9</xdr:col>
      <xdr:colOff>449195</xdr:colOff>
      <xdr:row>14</xdr:row>
      <xdr:rowOff>120215</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D8A6501F-60C4-4867-B77D-1C35C95D6351}"/>
            </a:ext>
          </a:extLst>
        </xdr:cNvPr>
        <xdr:cNvSpPr/>
      </xdr:nvSpPr>
      <xdr:spPr>
        <a:xfrm>
          <a:off x="3915059" y="2728094"/>
          <a:ext cx="2282754" cy="432650"/>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t>Vlookup</a:t>
          </a:r>
        </a:p>
      </xdr:txBody>
    </xdr:sp>
    <xdr:clientData/>
  </xdr:twoCellAnchor>
  <xdr:twoCellAnchor>
    <xdr:from>
      <xdr:col>2</xdr:col>
      <xdr:colOff>22050</xdr:colOff>
      <xdr:row>8</xdr:row>
      <xdr:rowOff>145452</xdr:rowOff>
    </xdr:from>
    <xdr:to>
      <xdr:col>5</xdr:col>
      <xdr:colOff>389912</xdr:colOff>
      <xdr:row>11</xdr:row>
      <xdr:rowOff>17808</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8CC39317-B783-4CED-A243-D4C0EA8604B0}"/>
            </a:ext>
          </a:extLst>
        </xdr:cNvPr>
        <xdr:cNvSpPr/>
      </xdr:nvSpPr>
      <xdr:spPr>
        <a:xfrm>
          <a:off x="1299521" y="2065393"/>
          <a:ext cx="2284067" cy="432650"/>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t>IF</a:t>
          </a:r>
          <a:r>
            <a:rPr lang="en-GB" sz="2000" baseline="0"/>
            <a:t> Function</a:t>
          </a:r>
          <a:endParaRPr lang="en-GB" sz="2000"/>
        </a:p>
      </xdr:txBody>
    </xdr:sp>
    <xdr:clientData/>
  </xdr:twoCellAnchor>
  <xdr:twoCellAnchor>
    <xdr:from>
      <xdr:col>6</xdr:col>
      <xdr:colOff>80007</xdr:colOff>
      <xdr:row>8</xdr:row>
      <xdr:rowOff>153500</xdr:rowOff>
    </xdr:from>
    <xdr:to>
      <xdr:col>9</xdr:col>
      <xdr:colOff>446555</xdr:colOff>
      <xdr:row>11</xdr:row>
      <xdr:rowOff>25856</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5B6D5366-8DBA-4D1F-B0DE-9F0516E222B6}"/>
            </a:ext>
          </a:extLst>
        </xdr:cNvPr>
        <xdr:cNvSpPr/>
      </xdr:nvSpPr>
      <xdr:spPr>
        <a:xfrm>
          <a:off x="3912419" y="2073441"/>
          <a:ext cx="2282754" cy="432650"/>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t>Concatente</a:t>
          </a:r>
        </a:p>
      </xdr:txBody>
    </xdr:sp>
    <xdr:clientData/>
  </xdr:twoCellAnchor>
  <xdr:twoCellAnchor>
    <xdr:from>
      <xdr:col>10</xdr:col>
      <xdr:colOff>122673</xdr:colOff>
      <xdr:row>12</xdr:row>
      <xdr:rowOff>56064</xdr:rowOff>
    </xdr:from>
    <xdr:to>
      <xdr:col>13</xdr:col>
      <xdr:colOff>489221</xdr:colOff>
      <xdr:row>14</xdr:row>
      <xdr:rowOff>111450</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AFBD2F0D-CB7D-4E9C-9B43-0DB8A36A6494}"/>
            </a:ext>
          </a:extLst>
        </xdr:cNvPr>
        <xdr:cNvSpPr/>
      </xdr:nvSpPr>
      <xdr:spPr>
        <a:xfrm>
          <a:off x="6510026" y="2723064"/>
          <a:ext cx="2282754" cy="428915"/>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t>Goal</a:t>
          </a:r>
          <a:r>
            <a:rPr lang="en-GB" sz="2000" baseline="0"/>
            <a:t> Exercise</a:t>
          </a:r>
          <a:endParaRPr lang="en-GB" sz="2000"/>
        </a:p>
      </xdr:txBody>
    </xdr:sp>
    <xdr:clientData/>
  </xdr:twoCellAnchor>
  <xdr:twoCellAnchor>
    <xdr:from>
      <xdr:col>6</xdr:col>
      <xdr:colOff>74565</xdr:colOff>
      <xdr:row>15</xdr:row>
      <xdr:rowOff>152790</xdr:rowOff>
    </xdr:from>
    <xdr:to>
      <xdr:col>9</xdr:col>
      <xdr:colOff>441113</xdr:colOff>
      <xdr:row>18</xdr:row>
      <xdr:rowOff>25145</xdr:rowOff>
    </xdr:to>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13795BA3-203C-45F7-9F86-8032A7FBDFE6}"/>
            </a:ext>
          </a:extLst>
        </xdr:cNvPr>
        <xdr:cNvSpPr/>
      </xdr:nvSpPr>
      <xdr:spPr>
        <a:xfrm>
          <a:off x="3906977" y="3380084"/>
          <a:ext cx="2282754" cy="432649"/>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t>Subtotalling</a:t>
          </a:r>
        </a:p>
      </xdr:txBody>
    </xdr:sp>
    <xdr:clientData/>
  </xdr:twoCellAnchor>
  <xdr:twoCellAnchor>
    <xdr:from>
      <xdr:col>2</xdr:col>
      <xdr:colOff>22992</xdr:colOff>
      <xdr:row>5</xdr:row>
      <xdr:rowOff>45327</xdr:rowOff>
    </xdr:from>
    <xdr:to>
      <xdr:col>5</xdr:col>
      <xdr:colOff>390854</xdr:colOff>
      <xdr:row>7</xdr:row>
      <xdr:rowOff>104447</xdr:rowOff>
    </xdr:to>
    <xdr:sp macro="" textlink="">
      <xdr:nvSpPr>
        <xdr:cNvPr id="16" name="Rectangle: Rounded Corners 15">
          <a:hlinkClick xmlns:r="http://schemas.openxmlformats.org/officeDocument/2006/relationships" r:id="rId8"/>
          <a:extLst>
            <a:ext uri="{FF2B5EF4-FFF2-40B4-BE49-F238E27FC236}">
              <a16:creationId xmlns:a16="http://schemas.microsoft.com/office/drawing/2014/main" id="{CBACB3B7-62DE-4797-991A-B5FDCFB92C20}"/>
            </a:ext>
          </a:extLst>
        </xdr:cNvPr>
        <xdr:cNvSpPr/>
      </xdr:nvSpPr>
      <xdr:spPr>
        <a:xfrm>
          <a:off x="1242192" y="1407402"/>
          <a:ext cx="2196662" cy="440120"/>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t>References</a:t>
          </a:r>
        </a:p>
      </xdr:txBody>
    </xdr:sp>
    <xdr:clientData/>
  </xdr:twoCellAnchor>
  <xdr:twoCellAnchor>
    <xdr:from>
      <xdr:col>13</xdr:col>
      <xdr:colOff>244475</xdr:colOff>
      <xdr:row>18</xdr:row>
      <xdr:rowOff>15875</xdr:rowOff>
    </xdr:from>
    <xdr:to>
      <xdr:col>14</xdr:col>
      <xdr:colOff>333375</xdr:colOff>
      <xdr:row>21</xdr:row>
      <xdr:rowOff>171450</xdr:rowOff>
    </xdr:to>
    <xdr:sp macro="" textlink="">
      <xdr:nvSpPr>
        <xdr:cNvPr id="21" name="Oval 20">
          <a:extLst>
            <a:ext uri="{FF2B5EF4-FFF2-40B4-BE49-F238E27FC236}">
              <a16:creationId xmlns:a16="http://schemas.microsoft.com/office/drawing/2014/main" id="{6B55131C-87B9-4BB9-9026-2470D7A821B4}"/>
            </a:ext>
          </a:extLst>
        </xdr:cNvPr>
        <xdr:cNvSpPr/>
      </xdr:nvSpPr>
      <xdr:spPr>
        <a:xfrm>
          <a:off x="8169275" y="3854450"/>
          <a:ext cx="698500" cy="727075"/>
        </a:xfrm>
        <a:prstGeom prst="ellipse">
          <a:avLst/>
        </a:prstGeom>
        <a:solidFill>
          <a:schemeClr val="bg1">
            <a:alpha val="3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17092</xdr:colOff>
      <xdr:row>12</xdr:row>
      <xdr:rowOff>53962</xdr:rowOff>
    </xdr:from>
    <xdr:to>
      <xdr:col>5</xdr:col>
      <xdr:colOff>384955</xdr:colOff>
      <xdr:row>14</xdr:row>
      <xdr:rowOff>113082</xdr:rowOff>
    </xdr:to>
    <xdr:sp macro="" textlink="">
      <xdr:nvSpPr>
        <xdr:cNvPr id="29" name="Rectangle: Rounded Corners 28">
          <a:hlinkClick xmlns:r="http://schemas.openxmlformats.org/officeDocument/2006/relationships" r:id="rId9"/>
          <a:extLst>
            <a:ext uri="{FF2B5EF4-FFF2-40B4-BE49-F238E27FC236}">
              <a16:creationId xmlns:a16="http://schemas.microsoft.com/office/drawing/2014/main" id="{D707F7B5-D3CF-47B9-97F2-30305EA71926}"/>
            </a:ext>
          </a:extLst>
        </xdr:cNvPr>
        <xdr:cNvSpPr/>
      </xdr:nvSpPr>
      <xdr:spPr>
        <a:xfrm>
          <a:off x="1294563" y="2720962"/>
          <a:ext cx="2284068" cy="432649"/>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t>Monthly</a:t>
          </a:r>
          <a:r>
            <a:rPr lang="en-GB" sz="2000" baseline="0"/>
            <a:t> Income</a:t>
          </a:r>
          <a:endParaRPr lang="en-GB" sz="2000"/>
        </a:p>
      </xdr:txBody>
    </xdr:sp>
    <xdr:clientData/>
  </xdr:twoCellAnchor>
  <xdr:twoCellAnchor>
    <xdr:from>
      <xdr:col>10</xdr:col>
      <xdr:colOff>123735</xdr:colOff>
      <xdr:row>5</xdr:row>
      <xdr:rowOff>50613</xdr:rowOff>
    </xdr:from>
    <xdr:to>
      <xdr:col>13</xdr:col>
      <xdr:colOff>491597</xdr:colOff>
      <xdr:row>7</xdr:row>
      <xdr:rowOff>109733</xdr:rowOff>
    </xdr:to>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6648366A-1EAE-480C-8A0F-778B780CBBE2}"/>
            </a:ext>
          </a:extLst>
        </xdr:cNvPr>
        <xdr:cNvSpPr/>
      </xdr:nvSpPr>
      <xdr:spPr>
        <a:xfrm>
          <a:off x="6511088" y="1410260"/>
          <a:ext cx="2284068" cy="432649"/>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t>eBay</a:t>
          </a:r>
          <a:r>
            <a:rPr lang="en-GB" sz="2000" baseline="0"/>
            <a:t> Profit Loss</a:t>
          </a:r>
        </a:p>
      </xdr:txBody>
    </xdr:sp>
    <xdr:clientData/>
  </xdr:twoCellAnchor>
  <xdr:twoCellAnchor>
    <xdr:from>
      <xdr:col>2</xdr:col>
      <xdr:colOff>26031</xdr:colOff>
      <xdr:row>15</xdr:row>
      <xdr:rowOff>143414</xdr:rowOff>
    </xdr:from>
    <xdr:to>
      <xdr:col>5</xdr:col>
      <xdr:colOff>392580</xdr:colOff>
      <xdr:row>18</xdr:row>
      <xdr:rowOff>12035</xdr:rowOff>
    </xdr:to>
    <xdr:sp macro="" textlink="">
      <xdr:nvSpPr>
        <xdr:cNvPr id="31" name="Rectangle: Rounded Corners 30">
          <a:hlinkClick xmlns:r="http://schemas.openxmlformats.org/officeDocument/2006/relationships" r:id="rId11"/>
          <a:extLst>
            <a:ext uri="{FF2B5EF4-FFF2-40B4-BE49-F238E27FC236}">
              <a16:creationId xmlns:a16="http://schemas.microsoft.com/office/drawing/2014/main" id="{40014655-0CC7-4516-8064-A7CF3B855AF5}"/>
            </a:ext>
          </a:extLst>
        </xdr:cNvPr>
        <xdr:cNvSpPr/>
      </xdr:nvSpPr>
      <xdr:spPr>
        <a:xfrm>
          <a:off x="1303502" y="3370708"/>
          <a:ext cx="2282754" cy="428915"/>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t>Nav</a:t>
          </a:r>
          <a:r>
            <a:rPr lang="en-GB" sz="2000" baseline="0"/>
            <a:t> Pane</a:t>
          </a:r>
          <a:endParaRPr lang="en-GB" sz="2000"/>
        </a:p>
      </xdr:txBody>
    </xdr:sp>
    <xdr:clientData/>
  </xdr:twoCellAnchor>
  <xdr:twoCellAnchor>
    <xdr:from>
      <xdr:col>10</xdr:col>
      <xdr:colOff>122375</xdr:colOff>
      <xdr:row>15</xdr:row>
      <xdr:rowOff>170159</xdr:rowOff>
    </xdr:from>
    <xdr:to>
      <xdr:col>13</xdr:col>
      <xdr:colOff>488923</xdr:colOff>
      <xdr:row>18</xdr:row>
      <xdr:rowOff>42514</xdr:rowOff>
    </xdr:to>
    <xdr:sp macro="" textlink="">
      <xdr:nvSpPr>
        <xdr:cNvPr id="22" name="Rectangle: Rounded Corners 21">
          <a:hlinkClick xmlns:r="http://schemas.openxmlformats.org/officeDocument/2006/relationships" r:id="rId12"/>
          <a:extLst>
            <a:ext uri="{FF2B5EF4-FFF2-40B4-BE49-F238E27FC236}">
              <a16:creationId xmlns:a16="http://schemas.microsoft.com/office/drawing/2014/main" id="{AE48D8A3-47AC-45B9-9732-0908F8ED7C5B}"/>
            </a:ext>
          </a:extLst>
        </xdr:cNvPr>
        <xdr:cNvSpPr/>
      </xdr:nvSpPr>
      <xdr:spPr>
        <a:xfrm>
          <a:off x="6509728" y="3397453"/>
          <a:ext cx="2282754" cy="432649"/>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t>Goals</a:t>
          </a:r>
          <a:r>
            <a:rPr lang="en-GB" sz="2000" baseline="0"/>
            <a:t> printing</a:t>
          </a:r>
          <a:endParaRPr lang="en-GB" sz="2000"/>
        </a:p>
      </xdr:txBody>
    </xdr:sp>
    <xdr:clientData/>
  </xdr:twoCellAnchor>
  <xdr:twoCellAnchor>
    <xdr:from>
      <xdr:col>2</xdr:col>
      <xdr:colOff>17815</xdr:colOff>
      <xdr:row>20</xdr:row>
      <xdr:rowOff>52717</xdr:rowOff>
    </xdr:from>
    <xdr:to>
      <xdr:col>7</xdr:col>
      <xdr:colOff>157026</xdr:colOff>
      <xdr:row>22</xdr:row>
      <xdr:rowOff>108101</xdr:rowOff>
    </xdr:to>
    <xdr:sp macro="" textlink="">
      <xdr:nvSpPr>
        <xdr:cNvPr id="33" name="Rectangle: Rounded Corners 32">
          <a:hlinkClick xmlns:r="http://schemas.openxmlformats.org/officeDocument/2006/relationships" r:id="rId13"/>
          <a:extLst>
            <a:ext uri="{FF2B5EF4-FFF2-40B4-BE49-F238E27FC236}">
              <a16:creationId xmlns:a16="http://schemas.microsoft.com/office/drawing/2014/main" id="{E709C2AB-6738-406E-9DE5-E518ABFF26A6}"/>
            </a:ext>
          </a:extLst>
        </xdr:cNvPr>
        <xdr:cNvSpPr/>
      </xdr:nvSpPr>
      <xdr:spPr>
        <a:xfrm>
          <a:off x="1295286" y="4213835"/>
          <a:ext cx="3332887" cy="428913"/>
        </a:xfrm>
        <a:prstGeom prst="roundRect">
          <a:avLst/>
        </a:prstGeom>
        <a:solidFill>
          <a:srgbClr val="F9F6F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solidFill>
                <a:schemeClr val="tx1"/>
              </a:solidFill>
            </a:rPr>
            <a:t>Formulas &amp; Functions 1</a:t>
          </a:r>
          <a:r>
            <a:rPr lang="en-GB" sz="2000" baseline="0">
              <a:solidFill>
                <a:schemeClr val="tx1"/>
              </a:solidFill>
            </a:rPr>
            <a:t> </a:t>
          </a:r>
          <a:endParaRPr lang="en-GB" sz="2000">
            <a:solidFill>
              <a:schemeClr val="tx1"/>
            </a:solidFill>
          </a:endParaRPr>
        </a:p>
      </xdr:txBody>
    </xdr:sp>
    <xdr:clientData/>
  </xdr:twoCellAnchor>
  <xdr:twoCellAnchor>
    <xdr:from>
      <xdr:col>2</xdr:col>
      <xdr:colOff>13935</xdr:colOff>
      <xdr:row>23</xdr:row>
      <xdr:rowOff>129713</xdr:rowOff>
    </xdr:from>
    <xdr:to>
      <xdr:col>7</xdr:col>
      <xdr:colOff>153146</xdr:colOff>
      <xdr:row>26</xdr:row>
      <xdr:rowOff>2068</xdr:rowOff>
    </xdr:to>
    <xdr:sp macro="" textlink="">
      <xdr:nvSpPr>
        <xdr:cNvPr id="34" name="Rectangle: Rounded Corners 33">
          <a:hlinkClick xmlns:r="http://schemas.openxmlformats.org/officeDocument/2006/relationships" r:id="rId14"/>
          <a:extLst>
            <a:ext uri="{FF2B5EF4-FFF2-40B4-BE49-F238E27FC236}">
              <a16:creationId xmlns:a16="http://schemas.microsoft.com/office/drawing/2014/main" id="{3719E72E-C024-489F-B7ED-08ABE903BC89}"/>
            </a:ext>
          </a:extLst>
        </xdr:cNvPr>
        <xdr:cNvSpPr/>
      </xdr:nvSpPr>
      <xdr:spPr>
        <a:xfrm>
          <a:off x="1291406" y="4851125"/>
          <a:ext cx="3332887" cy="432649"/>
        </a:xfrm>
        <a:prstGeom prst="roundRect">
          <a:avLst/>
        </a:prstGeom>
        <a:solidFill>
          <a:srgbClr val="F9F6F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solidFill>
                <a:schemeClr val="tx1"/>
              </a:solidFill>
            </a:rPr>
            <a:t>Formulas &amp; Functions 2</a:t>
          </a:r>
          <a:r>
            <a:rPr lang="en-GB" sz="2000" baseline="0">
              <a:solidFill>
                <a:schemeClr val="tx1"/>
              </a:solidFill>
            </a:rPr>
            <a:t> </a:t>
          </a:r>
          <a:endParaRPr lang="en-GB" sz="2000">
            <a:solidFill>
              <a:schemeClr val="tx1"/>
            </a:solidFill>
          </a:endParaRPr>
        </a:p>
      </xdr:txBody>
    </xdr:sp>
    <xdr:clientData/>
  </xdr:twoCellAnchor>
  <xdr:twoCellAnchor>
    <xdr:from>
      <xdr:col>2</xdr:col>
      <xdr:colOff>16275</xdr:colOff>
      <xdr:row>27</xdr:row>
      <xdr:rowOff>20805</xdr:rowOff>
    </xdr:from>
    <xdr:to>
      <xdr:col>7</xdr:col>
      <xdr:colOff>155486</xdr:colOff>
      <xdr:row>29</xdr:row>
      <xdr:rowOff>79925</xdr:rowOff>
    </xdr:to>
    <xdr:sp macro="" textlink="">
      <xdr:nvSpPr>
        <xdr:cNvPr id="37" name="Rectangle: Rounded Corners 36">
          <a:hlinkClick xmlns:r="http://schemas.openxmlformats.org/officeDocument/2006/relationships" r:id="rId15"/>
          <a:extLst>
            <a:ext uri="{FF2B5EF4-FFF2-40B4-BE49-F238E27FC236}">
              <a16:creationId xmlns:a16="http://schemas.microsoft.com/office/drawing/2014/main" id="{072228B1-6A6A-4D14-802A-539E6D12AA9C}"/>
            </a:ext>
          </a:extLst>
        </xdr:cNvPr>
        <xdr:cNvSpPr/>
      </xdr:nvSpPr>
      <xdr:spPr>
        <a:xfrm>
          <a:off x="1293746" y="5489276"/>
          <a:ext cx="3332887" cy="432649"/>
        </a:xfrm>
        <a:prstGeom prst="roundRect">
          <a:avLst/>
        </a:prstGeom>
        <a:solidFill>
          <a:srgbClr val="F9F6F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solidFill>
                <a:schemeClr val="tx1"/>
              </a:solidFill>
            </a:rPr>
            <a:t>F</a:t>
          </a:r>
          <a:r>
            <a:rPr lang="en-GB" sz="2000" baseline="0">
              <a:solidFill>
                <a:schemeClr val="tx1"/>
              </a:solidFill>
            </a:rPr>
            <a:t> &amp; F Exercise </a:t>
          </a:r>
          <a:endParaRPr lang="en-GB" sz="2000">
            <a:solidFill>
              <a:schemeClr val="tx1"/>
            </a:solidFill>
          </a:endParaRPr>
        </a:p>
      </xdr:txBody>
    </xdr:sp>
    <xdr:clientData/>
  </xdr:twoCellAnchor>
  <xdr:twoCellAnchor>
    <xdr:from>
      <xdr:col>2</xdr:col>
      <xdr:colOff>18839</xdr:colOff>
      <xdr:row>30</xdr:row>
      <xdr:rowOff>104737</xdr:rowOff>
    </xdr:from>
    <xdr:to>
      <xdr:col>7</xdr:col>
      <xdr:colOff>158050</xdr:colOff>
      <xdr:row>32</xdr:row>
      <xdr:rowOff>162882</xdr:rowOff>
    </xdr:to>
    <xdr:sp macro="" textlink="">
      <xdr:nvSpPr>
        <xdr:cNvPr id="27" name="Rectangle: Rounded Corners 26">
          <a:hlinkClick xmlns:r="http://schemas.openxmlformats.org/officeDocument/2006/relationships" r:id="rId16"/>
          <a:extLst>
            <a:ext uri="{FF2B5EF4-FFF2-40B4-BE49-F238E27FC236}">
              <a16:creationId xmlns:a16="http://schemas.microsoft.com/office/drawing/2014/main" id="{42AFA098-02B6-48B2-B89A-2BF6CA71F2D9}"/>
            </a:ext>
          </a:extLst>
        </xdr:cNvPr>
        <xdr:cNvSpPr/>
      </xdr:nvSpPr>
      <xdr:spPr>
        <a:xfrm>
          <a:off x="1296310" y="6133502"/>
          <a:ext cx="3332887" cy="431674"/>
        </a:xfrm>
        <a:prstGeom prst="roundRect">
          <a:avLst/>
        </a:prstGeom>
        <a:solidFill>
          <a:srgbClr val="F9F6F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solidFill>
                <a:schemeClr val="tx1"/>
              </a:solidFill>
            </a:rPr>
            <a:t>F</a:t>
          </a:r>
          <a:r>
            <a:rPr lang="en-GB" sz="2000" baseline="0">
              <a:solidFill>
                <a:schemeClr val="tx1"/>
              </a:solidFill>
            </a:rPr>
            <a:t> &amp; F Exercise Solution </a:t>
          </a:r>
          <a:endParaRPr lang="en-GB" sz="2000">
            <a:solidFill>
              <a:schemeClr val="tx1"/>
            </a:solidFill>
          </a:endParaRPr>
        </a:p>
      </xdr:txBody>
    </xdr:sp>
    <xdr:clientData/>
  </xdr:twoCellAnchor>
  <xdr:twoCellAnchor>
    <xdr:from>
      <xdr:col>9</xdr:col>
      <xdr:colOff>425300</xdr:colOff>
      <xdr:row>24</xdr:row>
      <xdr:rowOff>78803</xdr:rowOff>
    </xdr:from>
    <xdr:to>
      <xdr:col>11</xdr:col>
      <xdr:colOff>541247</xdr:colOff>
      <xdr:row>29</xdr:row>
      <xdr:rowOff>54901</xdr:rowOff>
    </xdr:to>
    <xdr:sp macro="" textlink="">
      <xdr:nvSpPr>
        <xdr:cNvPr id="35" name="Oval 34">
          <a:extLst>
            <a:ext uri="{FF2B5EF4-FFF2-40B4-BE49-F238E27FC236}">
              <a16:creationId xmlns:a16="http://schemas.microsoft.com/office/drawing/2014/main" id="{3D2B56C7-0C46-4E25-AB9F-DAE3BC22B24F}"/>
            </a:ext>
          </a:extLst>
        </xdr:cNvPr>
        <xdr:cNvSpPr/>
      </xdr:nvSpPr>
      <xdr:spPr>
        <a:xfrm rot="2520092">
          <a:off x="6192255" y="4945212"/>
          <a:ext cx="1397492" cy="899734"/>
        </a:xfrm>
        <a:prstGeom prst="ellipse">
          <a:avLst/>
        </a:prstGeom>
        <a:solidFill>
          <a:schemeClr val="bg1">
            <a:alpha val="3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780677</xdr:colOff>
      <xdr:row>52</xdr:row>
      <xdr:rowOff>94032</xdr:rowOff>
    </xdr:from>
    <xdr:to>
      <xdr:col>3</xdr:col>
      <xdr:colOff>489119</xdr:colOff>
      <xdr:row>54</xdr:row>
      <xdr:rowOff>153153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6CD19A9-AF05-4BB6-9F44-82E891EFD9D7}"/>
            </a:ext>
          </a:extLst>
        </xdr:cNvPr>
        <xdr:cNvSpPr/>
      </xdr:nvSpPr>
      <xdr:spPr>
        <a:xfrm>
          <a:off x="780677" y="10261503"/>
          <a:ext cx="2263383" cy="432650"/>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Nav</a:t>
          </a:r>
          <a:r>
            <a:rPr lang="en-GB" sz="2000" baseline="0"/>
            <a:t>igation</a:t>
          </a:r>
          <a:endParaRPr lang="en-GB" sz="2000"/>
        </a:p>
      </xdr:txBody>
    </xdr:sp>
    <xdr:clientData/>
  </xdr:twoCellAnchor>
  <xdr:twoCellAnchor>
    <xdr:from>
      <xdr:col>8</xdr:col>
      <xdr:colOff>672353</xdr:colOff>
      <xdr:row>36</xdr:row>
      <xdr:rowOff>11206</xdr:rowOff>
    </xdr:from>
    <xdr:to>
      <xdr:col>12</xdr:col>
      <xdr:colOff>504265</xdr:colOff>
      <xdr:row>61</xdr:row>
      <xdr:rowOff>44823</xdr:rowOff>
    </xdr:to>
    <xdr:sp macro="" textlink="">
      <xdr:nvSpPr>
        <xdr:cNvPr id="3" name="TextBox 2">
          <a:extLst>
            <a:ext uri="{FF2B5EF4-FFF2-40B4-BE49-F238E27FC236}">
              <a16:creationId xmlns:a16="http://schemas.microsoft.com/office/drawing/2014/main" id="{E1192700-C7B3-408A-8C7E-632AD27A930D}"/>
            </a:ext>
          </a:extLst>
        </xdr:cNvPr>
        <xdr:cNvSpPr txBox="1"/>
      </xdr:nvSpPr>
      <xdr:spPr>
        <a:xfrm>
          <a:off x="7597588" y="7190441"/>
          <a:ext cx="3268383" cy="47027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u="dbl"/>
            <a:t>Exercise</a:t>
          </a:r>
        </a:p>
        <a:p>
          <a:pPr algn="l"/>
          <a:endParaRPr lang="en-US" sz="1100" b="0" u="none"/>
        </a:p>
        <a:p>
          <a:pPr algn="l"/>
          <a:r>
            <a:rPr lang="en-US" sz="1100" b="0" u="none"/>
            <a:t>Using</a:t>
          </a:r>
          <a:r>
            <a:rPr lang="en-US" sz="1100" b="0" u="none" baseline="0"/>
            <a:t> your knowledge of references and simple formula writing so far, fill in the "SALES TAX" and "LINE TOTAL" columns using the correct formulas and types of reference. Then find the SUM/Total for "LINE TOTAL. </a:t>
          </a:r>
        </a:p>
        <a:p>
          <a:pPr algn="l"/>
          <a:endParaRPr lang="en-US" sz="1100" b="0" u="none" baseline="0"/>
        </a:p>
        <a:p>
          <a:pPr algn="l"/>
          <a:r>
            <a:rPr lang="en-US" sz="1100" b="0" u="none" baseline="0"/>
            <a:t>Important! The three steps you must follow are listed below. However, if you are not confident about this exercise, then feel free to move onto the solution video.</a:t>
          </a:r>
        </a:p>
        <a:p>
          <a:pPr algn="l"/>
          <a:endParaRPr lang="en-US" sz="1100" b="0" u="none" baseline="0"/>
        </a:p>
        <a:p>
          <a:pPr algn="l"/>
          <a:r>
            <a:rPr lang="en-US" sz="1100" b="0" u="none" baseline="0"/>
            <a:t>Step 1: Fill in "LINE TOTAL" column. </a:t>
          </a:r>
        </a:p>
        <a:p>
          <a:pPr algn="l"/>
          <a:r>
            <a:rPr lang="en-US" sz="1100" b="0" u="none" baseline="0"/>
            <a:t>Step 2: Fill in "SALES TAX" column. Apply/reference the tax rate of 9.50%.</a:t>
          </a:r>
        </a:p>
        <a:p>
          <a:pPr algn="l"/>
          <a:r>
            <a:rPr lang="en-US" sz="1100" b="0" u="none" baseline="0"/>
            <a:t>Step 3: Use a SUM function to find the total. </a:t>
          </a:r>
        </a:p>
        <a:p>
          <a:pPr algn="l"/>
          <a:endParaRPr lang="en-US" sz="1100" b="0" u="none" baseline="0"/>
        </a:p>
        <a:p>
          <a:pPr algn="l"/>
          <a:r>
            <a:rPr lang="en-US" sz="1100" b="0" u="none" baseline="0"/>
            <a:t>Struggling with the formula? Here is a hint as to what they should look like:</a:t>
          </a:r>
        </a:p>
        <a:p>
          <a:pPr algn="l"/>
          <a:endParaRPr lang="en-US" sz="1100" b="0" u="none" baseline="0"/>
        </a:p>
        <a:p>
          <a:pPr algn="l"/>
          <a:r>
            <a:rPr lang="en-US" sz="1100" b="0" u="none" baseline="0"/>
            <a:t>Step 1: =(REF*REF)+REF</a:t>
          </a:r>
        </a:p>
        <a:p>
          <a:pPr algn="l"/>
          <a:r>
            <a:rPr lang="en-US" sz="1100" b="0" u="none" baseline="0"/>
            <a:t>Step 2: =(REF*REF)*REF</a:t>
          </a:r>
        </a:p>
        <a:p>
          <a:pPr algn="l"/>
          <a:endParaRPr lang="en-US" sz="1100" b="0" u="none" baseline="0"/>
        </a:p>
        <a:p>
          <a:pPr algn="l"/>
          <a:r>
            <a:rPr lang="en-US" sz="1100" b="0" u="none" baseline="0"/>
            <a:t>The last reference in step two might need some kind of special reference to work properly ;) </a:t>
          </a:r>
        </a:p>
        <a:p>
          <a:pPr algn="l"/>
          <a:endParaRPr lang="en-US" sz="1100" b="0" u="none" baseline="0"/>
        </a:p>
        <a:p>
          <a:pPr algn="l"/>
          <a:endParaRPr lang="en-US" sz="1100" b="0" u="none"/>
        </a:p>
        <a:p>
          <a:pPr algn="ctr"/>
          <a:endParaRPr lang="en-US" sz="1100"/>
        </a:p>
        <a:p>
          <a:pPr algn="ctr"/>
          <a:endParaRPr lang="en-US" sz="1100"/>
        </a:p>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11073</xdr:colOff>
      <xdr:row>45</xdr:row>
      <xdr:rowOff>156904</xdr:rowOff>
    </xdr:from>
    <xdr:to>
      <xdr:col>5</xdr:col>
      <xdr:colOff>377621</xdr:colOff>
      <xdr:row>48</xdr:row>
      <xdr:rowOff>25524</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3ABAF0C-D77D-48D8-853D-022753F6FD23}"/>
            </a:ext>
          </a:extLst>
        </xdr:cNvPr>
        <xdr:cNvSpPr/>
      </xdr:nvSpPr>
      <xdr:spPr>
        <a:xfrm>
          <a:off x="620673" y="8870918"/>
          <a:ext cx="2195348" cy="440120"/>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Navigation</a:t>
          </a:r>
        </a:p>
      </xdr:txBody>
    </xdr:sp>
    <xdr:clientData/>
  </xdr:twoCellAnchor>
  <xdr:twoCellAnchor>
    <xdr:from>
      <xdr:col>2</xdr:col>
      <xdr:colOff>6568</xdr:colOff>
      <xdr:row>4</xdr:row>
      <xdr:rowOff>183931</xdr:rowOff>
    </xdr:from>
    <xdr:to>
      <xdr:col>8</xdr:col>
      <xdr:colOff>197070</xdr:colOff>
      <xdr:row>9</xdr:row>
      <xdr:rowOff>39414</xdr:rowOff>
    </xdr:to>
    <xdr:sp macro="" textlink="">
      <xdr:nvSpPr>
        <xdr:cNvPr id="4" name="TextBox 3">
          <a:extLst>
            <a:ext uri="{FF2B5EF4-FFF2-40B4-BE49-F238E27FC236}">
              <a16:creationId xmlns:a16="http://schemas.microsoft.com/office/drawing/2014/main" id="{F95A49DD-B3A6-4D77-9952-59C1164E83C8}"/>
            </a:ext>
          </a:extLst>
        </xdr:cNvPr>
        <xdr:cNvSpPr txBox="1"/>
      </xdr:nvSpPr>
      <xdr:spPr>
        <a:xfrm>
          <a:off x="616168" y="1060231"/>
          <a:ext cx="4286252" cy="788933"/>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GB" sz="1400">
              <a:solidFill>
                <a:schemeClr val="bg1"/>
              </a:solidFill>
            </a:rPr>
            <a:t>The IF Function can be used to find out if</a:t>
          </a:r>
          <a:r>
            <a:rPr lang="en-GB" sz="1400" baseline="0">
              <a:solidFill>
                <a:schemeClr val="bg1"/>
              </a:solidFill>
            </a:rPr>
            <a:t> a certain condition has been met. If it has been met, then you can choose what answer you want the function to return.</a:t>
          </a:r>
          <a:endParaRPr lang="en-GB" sz="1400">
            <a:solidFill>
              <a:schemeClr val="bg1"/>
            </a:solidFill>
          </a:endParaRPr>
        </a:p>
      </xdr:txBody>
    </xdr:sp>
    <xdr:clientData/>
  </xdr:twoCellAnchor>
  <xdr:twoCellAnchor>
    <xdr:from>
      <xdr:col>18</xdr:col>
      <xdr:colOff>254002</xdr:colOff>
      <xdr:row>3</xdr:row>
      <xdr:rowOff>111126</xdr:rowOff>
    </xdr:from>
    <xdr:to>
      <xdr:col>22</xdr:col>
      <xdr:colOff>496094</xdr:colOff>
      <xdr:row>23</xdr:row>
      <xdr:rowOff>14654</xdr:rowOff>
    </xdr:to>
    <xdr:sp macro="" textlink="">
      <xdr:nvSpPr>
        <xdr:cNvPr id="5" name="TextBox 4">
          <a:extLst>
            <a:ext uri="{FF2B5EF4-FFF2-40B4-BE49-F238E27FC236}">
              <a16:creationId xmlns:a16="http://schemas.microsoft.com/office/drawing/2014/main" id="{B40C9F21-660C-48A9-9A56-C129081487F0}"/>
            </a:ext>
          </a:extLst>
        </xdr:cNvPr>
        <xdr:cNvSpPr txBox="1"/>
      </xdr:nvSpPr>
      <xdr:spPr>
        <a:xfrm>
          <a:off x="12045952" y="803276"/>
          <a:ext cx="3594892" cy="35992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u="sng"/>
            <a:t>Exercise instructions</a:t>
          </a:r>
        </a:p>
        <a:p>
          <a:pPr algn="ctr"/>
          <a:endParaRPr lang="en-GB" sz="1100" b="1" u="sng"/>
        </a:p>
        <a:p>
          <a:pPr algn="ctr"/>
          <a:r>
            <a:rPr lang="en-GB" sz="1100" b="0" u="none"/>
            <a:t>***  READ ALL INSTRUCTIONS</a:t>
          </a:r>
          <a:r>
            <a:rPr lang="en-GB" sz="1100" b="0" u="none" baseline="0"/>
            <a:t> BEFORE STARTING ***</a:t>
          </a:r>
          <a:endParaRPr lang="en-GB" sz="1100" b="0" u="none"/>
        </a:p>
        <a:p>
          <a:pPr algn="ctr"/>
          <a:endParaRPr lang="en-GB" sz="1100"/>
        </a:p>
        <a:p>
          <a:pPr algn="l"/>
          <a:r>
            <a:rPr lang="en-GB" sz="1100"/>
            <a:t>In</a:t>
          </a:r>
          <a:r>
            <a:rPr lang="en-GB" sz="1100" baseline="0"/>
            <a:t> cell </a:t>
          </a:r>
          <a:r>
            <a:rPr lang="en-GB" sz="1100" b="1" baseline="0"/>
            <a:t>Q11</a:t>
          </a:r>
          <a:r>
            <a:rPr lang="en-GB" sz="1100" baseline="0"/>
            <a:t> write out an IF Function to find out if the total revenue for Mercedez is </a:t>
          </a:r>
          <a:r>
            <a:rPr lang="en-GB" sz="1100" b="1" baseline="0"/>
            <a:t>greater than or equal to</a:t>
          </a:r>
          <a:r>
            <a:rPr lang="en-GB" sz="1100" baseline="0"/>
            <a:t> $5000. (Or whatever value is in cell </a:t>
          </a:r>
          <a:r>
            <a:rPr lang="en-GB" sz="1100" b="1" baseline="0"/>
            <a:t>Q8</a:t>
          </a:r>
          <a:r>
            <a:rPr lang="en-GB" sz="1100" baseline="0"/>
            <a:t>, as it can be changed at any time). Then use autofill to fill in the rest of the cells for the other car manufacturers. </a:t>
          </a:r>
        </a:p>
        <a:p>
          <a:pPr algn="l"/>
          <a:endParaRPr lang="en-GB" sz="1100" baseline="0"/>
        </a:p>
        <a:p>
          <a:pPr algn="l"/>
          <a:r>
            <a:rPr lang="en-GB" sz="1100" baseline="0"/>
            <a:t>Within the IF Function, make sure to reference cell </a:t>
          </a:r>
          <a:r>
            <a:rPr lang="en-GB" sz="1100" b="1" baseline="0"/>
            <a:t>Q8</a:t>
          </a:r>
          <a:r>
            <a:rPr lang="en-GB" sz="1100" baseline="0"/>
            <a:t> (</a:t>
          </a:r>
          <a:r>
            <a:rPr lang="en-GB" sz="1100" b="1" baseline="0"/>
            <a:t>Target revenue</a:t>
          </a:r>
          <a:r>
            <a:rPr lang="en-GB" sz="1100" baseline="0"/>
            <a:t>). If the </a:t>
          </a:r>
          <a:r>
            <a:rPr lang="en-GB" sz="1100" b="1" baseline="0"/>
            <a:t>Target revenue </a:t>
          </a:r>
          <a:r>
            <a:rPr lang="en-GB" sz="1100" baseline="0"/>
            <a:t>is changed, all the answers for each of the car manufaturers should up date.</a:t>
          </a:r>
        </a:p>
        <a:p>
          <a:pPr algn="l"/>
          <a:endParaRPr lang="en-GB" sz="1100" baseline="0"/>
        </a:p>
        <a:p>
          <a:pPr algn="l"/>
          <a:r>
            <a:rPr lang="en-GB" sz="1100" baseline="0"/>
            <a:t>In terms of the answers returned by the function, you can choose any wording that you like. I chose a simple "Yes" or "No" to be returned.</a:t>
          </a:r>
        </a:p>
        <a:p>
          <a:pPr algn="l"/>
          <a:endParaRPr lang="en-GB" sz="1100" baseline="0"/>
        </a:p>
        <a:p>
          <a:pPr algn="l"/>
          <a:r>
            <a:rPr lang="en-GB" sz="1100" b="1" baseline="0"/>
            <a:t>Top tip! </a:t>
          </a:r>
          <a:r>
            <a:rPr lang="en-GB" sz="1100" b="0" baseline="0"/>
            <a:t>You will have to use either a mixed or absolute reference somewhere in the function ;) </a:t>
          </a:r>
        </a:p>
        <a:p>
          <a:pPr algn="l"/>
          <a:endParaRPr lang="en-GB" sz="1100" b="0" baseline="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33946</xdr:colOff>
      <xdr:row>81</xdr:row>
      <xdr:rowOff>150462</xdr:rowOff>
    </xdr:from>
    <xdr:to>
      <xdr:col>11</xdr:col>
      <xdr:colOff>123288</xdr:colOff>
      <xdr:row>84</xdr:row>
      <xdr:rowOff>25431</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34753AD8-9858-4073-AE9E-667D9940CED5}"/>
            </a:ext>
          </a:extLst>
        </xdr:cNvPr>
        <xdr:cNvSpPr/>
      </xdr:nvSpPr>
      <xdr:spPr>
        <a:xfrm>
          <a:off x="4942496" y="15447612"/>
          <a:ext cx="2527742" cy="427419"/>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aseline="0"/>
            <a:t>Navigation</a:t>
          </a:r>
          <a:endParaRPr lang="en-GB" sz="2000"/>
        </a:p>
      </xdr:txBody>
    </xdr:sp>
    <xdr:clientData/>
  </xdr:twoCellAnchor>
  <xdr:twoCellAnchor editAs="oneCell">
    <xdr:from>
      <xdr:col>15</xdr:col>
      <xdr:colOff>619783</xdr:colOff>
      <xdr:row>2</xdr:row>
      <xdr:rowOff>63386</xdr:rowOff>
    </xdr:from>
    <xdr:to>
      <xdr:col>19</xdr:col>
      <xdr:colOff>1117601</xdr:colOff>
      <xdr:row>14</xdr:row>
      <xdr:rowOff>76200</xdr:rowOff>
    </xdr:to>
    <xdr:pic>
      <xdr:nvPicPr>
        <xdr:cNvPr id="5" name="Picture 4">
          <a:extLst>
            <a:ext uri="{FF2B5EF4-FFF2-40B4-BE49-F238E27FC236}">
              <a16:creationId xmlns:a16="http://schemas.microsoft.com/office/drawing/2014/main" id="{52E79D4F-7C21-4353-BB72-F8B597224C2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100583" y="545986"/>
          <a:ext cx="3291818" cy="2222614"/>
        </a:xfrm>
        <a:prstGeom prst="rect">
          <a:avLst/>
        </a:prstGeom>
      </xdr:spPr>
    </xdr:pic>
    <xdr:clientData/>
  </xdr:twoCellAnchor>
  <xdr:twoCellAnchor editAs="oneCell">
    <xdr:from>
      <xdr:col>16</xdr:col>
      <xdr:colOff>499036</xdr:colOff>
      <xdr:row>16</xdr:row>
      <xdr:rowOff>94557</xdr:rowOff>
    </xdr:from>
    <xdr:to>
      <xdr:col>19</xdr:col>
      <xdr:colOff>552450</xdr:colOff>
      <xdr:row>27</xdr:row>
      <xdr:rowOff>16</xdr:rowOff>
    </xdr:to>
    <xdr:pic>
      <xdr:nvPicPr>
        <xdr:cNvPr id="6" name="Picture 5">
          <a:extLst>
            <a:ext uri="{FF2B5EF4-FFF2-40B4-BE49-F238E27FC236}">
              <a16:creationId xmlns:a16="http://schemas.microsoft.com/office/drawing/2014/main" id="{4F42B5AC-D26E-4E06-BA55-208DE40364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443386" y="3174307"/>
          <a:ext cx="2110814" cy="1927161"/>
        </a:xfrm>
        <a:prstGeom prst="rect">
          <a:avLst/>
        </a:prstGeom>
      </xdr:spPr>
    </xdr:pic>
    <xdr:clientData/>
  </xdr:twoCellAnchor>
  <xdr:twoCellAnchor>
    <xdr:from>
      <xdr:col>21</xdr:col>
      <xdr:colOff>264813</xdr:colOff>
      <xdr:row>42</xdr:row>
      <xdr:rowOff>120134</xdr:rowOff>
    </xdr:from>
    <xdr:to>
      <xdr:col>24</xdr:col>
      <xdr:colOff>286952</xdr:colOff>
      <xdr:row>45</xdr:row>
      <xdr:rowOff>170</xdr:rowOff>
    </xdr:to>
    <xdr:sp macro="" textlink="">
      <xdr:nvSpPr>
        <xdr:cNvPr id="2" name="Rectangle: Rounded Corners 1">
          <a:extLst>
            <a:ext uri="{FF2B5EF4-FFF2-40B4-BE49-F238E27FC236}">
              <a16:creationId xmlns:a16="http://schemas.microsoft.com/office/drawing/2014/main" id="{F4741FD7-7546-734F-FC0D-6AD05C12C613}"/>
            </a:ext>
          </a:extLst>
        </xdr:cNvPr>
        <xdr:cNvSpPr/>
      </xdr:nvSpPr>
      <xdr:spPr>
        <a:xfrm>
          <a:off x="14234813" y="8109120"/>
          <a:ext cx="1849909" cy="420645"/>
        </a:xfrm>
        <a:prstGeom prst="roundRect">
          <a:avLst/>
        </a:prstGeom>
        <a:pattFill prst="pct10">
          <a:fgClr>
            <a:schemeClr val="accent1"/>
          </a:fgClr>
          <a:bgClr>
            <a:schemeClr val="bg1"/>
          </a:bgClr>
        </a:patt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chemeClr val="tx1"/>
              </a:solidFill>
            </a:rPr>
            <a:t>ANSWER &gt;&gt;</a:t>
          </a:r>
        </a:p>
      </xdr:txBody>
    </xdr:sp>
    <xdr:clientData/>
  </xdr:twoCellAnchor>
  <xdr:twoCellAnchor>
    <xdr:from>
      <xdr:col>20</xdr:col>
      <xdr:colOff>103660</xdr:colOff>
      <xdr:row>36</xdr:row>
      <xdr:rowOff>82894</xdr:rowOff>
    </xdr:from>
    <xdr:to>
      <xdr:col>23</xdr:col>
      <xdr:colOff>125798</xdr:colOff>
      <xdr:row>38</xdr:row>
      <xdr:rowOff>113957</xdr:rowOff>
    </xdr:to>
    <xdr:sp macro="" textlink="">
      <xdr:nvSpPr>
        <xdr:cNvPr id="4" name="Rectangle: Rounded Corners 3">
          <a:extLst>
            <a:ext uri="{FF2B5EF4-FFF2-40B4-BE49-F238E27FC236}">
              <a16:creationId xmlns:a16="http://schemas.microsoft.com/office/drawing/2014/main" id="{73E51441-705E-4CC9-B192-FE0DA56C7C11}"/>
            </a:ext>
          </a:extLst>
        </xdr:cNvPr>
        <xdr:cNvSpPr/>
      </xdr:nvSpPr>
      <xdr:spPr>
        <a:xfrm>
          <a:off x="13464403" y="6939178"/>
          <a:ext cx="1849909" cy="442955"/>
        </a:xfrm>
        <a:prstGeom prst="roundRect">
          <a:avLst/>
        </a:prstGeom>
        <a:pattFill prst="pct10">
          <a:fgClr>
            <a:schemeClr val="accent1"/>
          </a:fgClr>
          <a:bgClr>
            <a:schemeClr val="bg1"/>
          </a:bgClr>
        </a:patt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chemeClr val="tx1"/>
              </a:solidFill>
            </a:rPr>
            <a:t>ANSWER &gt;&gt;</a:t>
          </a:r>
        </a:p>
      </xdr:txBody>
    </xdr:sp>
    <xdr:clientData/>
  </xdr:twoCellAnchor>
  <xdr:twoCellAnchor>
    <xdr:from>
      <xdr:col>20</xdr:col>
      <xdr:colOff>410692</xdr:colOff>
      <xdr:row>51</xdr:row>
      <xdr:rowOff>136954</xdr:rowOff>
    </xdr:from>
    <xdr:to>
      <xdr:col>23</xdr:col>
      <xdr:colOff>432830</xdr:colOff>
      <xdr:row>54</xdr:row>
      <xdr:rowOff>39301</xdr:rowOff>
    </xdr:to>
    <xdr:sp macro="" textlink="">
      <xdr:nvSpPr>
        <xdr:cNvPr id="7" name="Rectangle: Rounded Corners 6">
          <a:extLst>
            <a:ext uri="{FF2B5EF4-FFF2-40B4-BE49-F238E27FC236}">
              <a16:creationId xmlns:a16="http://schemas.microsoft.com/office/drawing/2014/main" id="{B4EB1B23-B66A-4B1E-A16D-3A4E8C482EE6}"/>
            </a:ext>
          </a:extLst>
        </xdr:cNvPr>
        <xdr:cNvSpPr/>
      </xdr:nvSpPr>
      <xdr:spPr>
        <a:xfrm>
          <a:off x="13771435" y="9747765"/>
          <a:ext cx="1849909" cy="442955"/>
        </a:xfrm>
        <a:prstGeom prst="roundRect">
          <a:avLst/>
        </a:prstGeom>
        <a:pattFill prst="pct10">
          <a:fgClr>
            <a:schemeClr val="accent1"/>
          </a:fgClr>
          <a:bgClr>
            <a:schemeClr val="bg1"/>
          </a:bgClr>
        </a:patt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chemeClr val="tx1"/>
              </a:solidFill>
            </a:rPr>
            <a:t>ANSWER &gt;&gt;</a:t>
          </a:r>
        </a:p>
      </xdr:txBody>
    </xdr:sp>
    <xdr:clientData/>
  </xdr:twoCellAnchor>
  <xdr:twoCellAnchor>
    <xdr:from>
      <xdr:col>20</xdr:col>
      <xdr:colOff>584201</xdr:colOff>
      <xdr:row>47</xdr:row>
      <xdr:rowOff>24713</xdr:rowOff>
    </xdr:from>
    <xdr:to>
      <xdr:col>23</xdr:col>
      <xdr:colOff>606339</xdr:colOff>
      <xdr:row>49</xdr:row>
      <xdr:rowOff>107264</xdr:rowOff>
    </xdr:to>
    <xdr:sp macro="" textlink="">
      <xdr:nvSpPr>
        <xdr:cNvPr id="9" name="Rectangle: Rounded Corners 8">
          <a:extLst>
            <a:ext uri="{FF2B5EF4-FFF2-40B4-BE49-F238E27FC236}">
              <a16:creationId xmlns:a16="http://schemas.microsoft.com/office/drawing/2014/main" id="{95C2D822-33AD-4817-87A9-3ED13E70B526}"/>
            </a:ext>
          </a:extLst>
        </xdr:cNvPr>
        <xdr:cNvSpPr/>
      </xdr:nvSpPr>
      <xdr:spPr>
        <a:xfrm>
          <a:off x="13944944" y="8914713"/>
          <a:ext cx="1849909" cy="442956"/>
        </a:xfrm>
        <a:prstGeom prst="roundRect">
          <a:avLst/>
        </a:prstGeom>
        <a:pattFill prst="pct10">
          <a:fgClr>
            <a:schemeClr val="accent1"/>
          </a:fgClr>
          <a:bgClr>
            <a:schemeClr val="bg1"/>
          </a:bgClr>
        </a:patt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chemeClr val="tx1"/>
              </a:solidFill>
            </a:rPr>
            <a:t>ANSWER &gt;&gt;</a:t>
          </a:r>
        </a:p>
      </xdr:txBody>
    </xdr:sp>
    <xdr:clientData/>
  </xdr:twoCellAnchor>
  <xdr:twoCellAnchor>
    <xdr:from>
      <xdr:col>19</xdr:col>
      <xdr:colOff>1123265</xdr:colOff>
      <xdr:row>55</xdr:row>
      <xdr:rowOff>127686</xdr:rowOff>
    </xdr:from>
    <xdr:to>
      <xdr:col>22</xdr:col>
      <xdr:colOff>596214</xdr:colOff>
      <xdr:row>58</xdr:row>
      <xdr:rowOff>30034</xdr:rowOff>
    </xdr:to>
    <xdr:sp macro="" textlink="">
      <xdr:nvSpPr>
        <xdr:cNvPr id="10" name="Rectangle: Rounded Corners 9">
          <a:extLst>
            <a:ext uri="{FF2B5EF4-FFF2-40B4-BE49-F238E27FC236}">
              <a16:creationId xmlns:a16="http://schemas.microsoft.com/office/drawing/2014/main" id="{8E34BEE8-9CF3-401F-BDAF-06642B8DAF7A}"/>
            </a:ext>
          </a:extLst>
        </xdr:cNvPr>
        <xdr:cNvSpPr/>
      </xdr:nvSpPr>
      <xdr:spPr>
        <a:xfrm>
          <a:off x="13325562" y="10459308"/>
          <a:ext cx="1849909" cy="442956"/>
        </a:xfrm>
        <a:prstGeom prst="roundRect">
          <a:avLst/>
        </a:prstGeom>
        <a:pattFill prst="pct10">
          <a:fgClr>
            <a:schemeClr val="accent1"/>
          </a:fgClr>
          <a:bgClr>
            <a:schemeClr val="bg1"/>
          </a:bgClr>
        </a:patt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chemeClr val="tx1"/>
              </a:solidFill>
            </a:rPr>
            <a:t>ANSWER &gt;&gt;</a:t>
          </a:r>
        </a:p>
      </xdr:txBody>
    </xdr:sp>
    <xdr:clientData/>
  </xdr:twoCellAnchor>
  <xdr:twoCellAnchor>
    <xdr:from>
      <xdr:col>21</xdr:col>
      <xdr:colOff>106234</xdr:colOff>
      <xdr:row>60</xdr:row>
      <xdr:rowOff>166473</xdr:rowOff>
    </xdr:from>
    <xdr:to>
      <xdr:col>24</xdr:col>
      <xdr:colOff>128373</xdr:colOff>
      <xdr:row>63</xdr:row>
      <xdr:rowOff>68820</xdr:rowOff>
    </xdr:to>
    <xdr:sp macro="" textlink="">
      <xdr:nvSpPr>
        <xdr:cNvPr id="11" name="Rectangle: Rounded Corners 10">
          <a:extLst>
            <a:ext uri="{FF2B5EF4-FFF2-40B4-BE49-F238E27FC236}">
              <a16:creationId xmlns:a16="http://schemas.microsoft.com/office/drawing/2014/main" id="{CF2C9A9A-8F2A-4BC2-AA8F-D21B8EAD0620}"/>
            </a:ext>
          </a:extLst>
        </xdr:cNvPr>
        <xdr:cNvSpPr/>
      </xdr:nvSpPr>
      <xdr:spPr>
        <a:xfrm>
          <a:off x="14076234" y="11399108"/>
          <a:ext cx="1849909" cy="442955"/>
        </a:xfrm>
        <a:prstGeom prst="roundRect">
          <a:avLst/>
        </a:prstGeom>
        <a:pattFill prst="pct10">
          <a:fgClr>
            <a:schemeClr val="accent1"/>
          </a:fgClr>
          <a:bgClr>
            <a:schemeClr val="bg1"/>
          </a:bgClr>
        </a:patt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chemeClr val="tx1"/>
              </a:solidFill>
            </a:rPr>
            <a:t>ANSWER &gt;&gt;</a:t>
          </a:r>
        </a:p>
      </xdr:txBody>
    </xdr:sp>
    <xdr:clientData/>
  </xdr:twoCellAnchor>
  <xdr:twoCellAnchor>
    <xdr:from>
      <xdr:col>21</xdr:col>
      <xdr:colOff>33124</xdr:colOff>
      <xdr:row>66</xdr:row>
      <xdr:rowOff>114986</xdr:rowOff>
    </xdr:from>
    <xdr:to>
      <xdr:col>24</xdr:col>
      <xdr:colOff>55263</xdr:colOff>
      <xdr:row>69</xdr:row>
      <xdr:rowOff>17334</xdr:rowOff>
    </xdr:to>
    <xdr:sp macro="" textlink="">
      <xdr:nvSpPr>
        <xdr:cNvPr id="12" name="Rectangle: Rounded Corners 11">
          <a:extLst>
            <a:ext uri="{FF2B5EF4-FFF2-40B4-BE49-F238E27FC236}">
              <a16:creationId xmlns:a16="http://schemas.microsoft.com/office/drawing/2014/main" id="{A25E2B48-7229-4FFA-B9B8-038B4069F159}"/>
            </a:ext>
          </a:extLst>
        </xdr:cNvPr>
        <xdr:cNvSpPr/>
      </xdr:nvSpPr>
      <xdr:spPr>
        <a:xfrm>
          <a:off x="14003124" y="12428837"/>
          <a:ext cx="1849909" cy="442956"/>
        </a:xfrm>
        <a:prstGeom prst="roundRect">
          <a:avLst/>
        </a:prstGeom>
        <a:pattFill prst="pct10">
          <a:fgClr>
            <a:schemeClr val="accent1"/>
          </a:fgClr>
          <a:bgClr>
            <a:schemeClr val="bg1"/>
          </a:bgClr>
        </a:patt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chemeClr val="tx1"/>
              </a:solidFill>
            </a:rPr>
            <a:t>ANSWER &gt;&gt;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153653</xdr:colOff>
      <xdr:row>53</xdr:row>
      <xdr:rowOff>101683</xdr:rowOff>
    </xdr:from>
    <xdr:to>
      <xdr:col>12</xdr:col>
      <xdr:colOff>225349</xdr:colOff>
      <xdr:row>55</xdr:row>
      <xdr:rowOff>184006</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33688640-F415-413F-BB1F-C54E43494ADB}"/>
            </a:ext>
          </a:extLst>
        </xdr:cNvPr>
        <xdr:cNvSpPr/>
      </xdr:nvSpPr>
      <xdr:spPr>
        <a:xfrm>
          <a:off x="9589753" y="11734883"/>
          <a:ext cx="2751396" cy="488723"/>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Navigation</a:t>
          </a:r>
        </a:p>
      </xdr:txBody>
    </xdr:sp>
    <xdr:clientData/>
  </xdr:twoCellAnchor>
  <xdr:twoCellAnchor>
    <xdr:from>
      <xdr:col>7</xdr:col>
      <xdr:colOff>650188</xdr:colOff>
      <xdr:row>33</xdr:row>
      <xdr:rowOff>117930</xdr:rowOff>
    </xdr:from>
    <xdr:to>
      <xdr:col>9</xdr:col>
      <xdr:colOff>595562</xdr:colOff>
      <xdr:row>45</xdr:row>
      <xdr:rowOff>111411</xdr:rowOff>
    </xdr:to>
    <xdr:sp macro="" textlink="">
      <xdr:nvSpPr>
        <xdr:cNvPr id="2" name="TextBox 1">
          <a:extLst>
            <a:ext uri="{FF2B5EF4-FFF2-40B4-BE49-F238E27FC236}">
              <a16:creationId xmlns:a16="http://schemas.microsoft.com/office/drawing/2014/main" id="{9A2BF2EA-27AD-5AF2-4E23-946186BD8C5A}"/>
            </a:ext>
          </a:extLst>
        </xdr:cNvPr>
        <xdr:cNvSpPr txBox="1"/>
      </xdr:nvSpPr>
      <xdr:spPr>
        <a:xfrm>
          <a:off x="6601045" y="7629073"/>
          <a:ext cx="2440017" cy="2388338"/>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600" b="0"/>
            <a:t>1 </a:t>
          </a:r>
          <a:r>
            <a:rPr lang="en-GB" sz="1600" b="0" baseline="0"/>
            <a:t>- </a:t>
          </a:r>
          <a:r>
            <a:rPr lang="en-GB" sz="2000" b="1"/>
            <a:t>B</a:t>
          </a:r>
          <a:r>
            <a:rPr lang="en-GB" sz="1400" b="0"/>
            <a:t>rackets                   </a:t>
          </a:r>
          <a:r>
            <a:rPr lang="en-GB" sz="1600" b="0"/>
            <a:t>( )</a:t>
          </a:r>
        </a:p>
        <a:p>
          <a:r>
            <a:rPr lang="en-GB" sz="1600" b="0"/>
            <a:t>2 -</a:t>
          </a:r>
          <a:r>
            <a:rPr lang="en-GB" sz="1800" b="1"/>
            <a:t> O</a:t>
          </a:r>
          <a:r>
            <a:rPr lang="en-GB" sz="1400" b="0"/>
            <a:t>rder/power          </a:t>
          </a:r>
          <a:r>
            <a:rPr lang="en-GB" sz="1600" b="0"/>
            <a:t>4</a:t>
          </a:r>
          <a:r>
            <a:rPr lang="en-GB" sz="1100" b="0"/>
            <a:t>2</a:t>
          </a:r>
        </a:p>
        <a:p>
          <a:r>
            <a:rPr lang="en-GB" sz="1600" b="0"/>
            <a:t>3 -</a:t>
          </a:r>
          <a:r>
            <a:rPr lang="en-GB" sz="2000" b="1"/>
            <a:t> D</a:t>
          </a:r>
          <a:r>
            <a:rPr lang="en-GB" sz="1400" b="0"/>
            <a:t>ivision                    </a:t>
          </a:r>
          <a:r>
            <a:rPr lang="en-GB" sz="1600" b="0"/>
            <a:t>/</a:t>
          </a:r>
        </a:p>
        <a:p>
          <a:r>
            <a:rPr lang="en-GB" sz="1400" b="0"/>
            <a:t>4 -</a:t>
          </a:r>
          <a:r>
            <a:rPr lang="en-GB" sz="1800" b="1"/>
            <a:t> M</a:t>
          </a:r>
          <a:r>
            <a:rPr lang="en-GB" sz="1400" b="0"/>
            <a:t>ultiplication        </a:t>
          </a:r>
          <a:r>
            <a:rPr lang="en-GB" sz="1600" b="0"/>
            <a:t>x or *</a:t>
          </a:r>
        </a:p>
        <a:p>
          <a:r>
            <a:rPr lang="en-GB" sz="1600" b="0"/>
            <a:t>5 -</a:t>
          </a:r>
          <a:r>
            <a:rPr lang="en-GB" sz="2000" b="1"/>
            <a:t> A</a:t>
          </a:r>
          <a:r>
            <a:rPr lang="en-GB" sz="1400" b="0"/>
            <a:t>ddition                  </a:t>
          </a:r>
          <a:r>
            <a:rPr lang="en-GB" sz="1800" b="0"/>
            <a:t>+</a:t>
          </a:r>
        </a:p>
        <a:p>
          <a:r>
            <a:rPr lang="en-GB" sz="1600" b="0"/>
            <a:t>6 -</a:t>
          </a:r>
          <a:r>
            <a:rPr lang="en-GB" sz="2000" b="1"/>
            <a:t> S</a:t>
          </a:r>
          <a:r>
            <a:rPr lang="en-GB" sz="1400" b="0"/>
            <a:t>ubraction              </a:t>
          </a:r>
          <a:r>
            <a:rPr lang="en-GB" sz="1800" b="0"/>
            <a:t> </a:t>
          </a:r>
          <a:r>
            <a:rPr lang="en-GB" sz="2000" b="0"/>
            <a:t>-</a:t>
          </a:r>
          <a:endParaRPr lang="en-GB" sz="1400" b="0"/>
        </a:p>
      </xdr:txBody>
    </xdr:sp>
    <xdr:clientData/>
  </xdr:twoCellAnchor>
  <xdr:twoCellAnchor>
    <xdr:from>
      <xdr:col>11</xdr:col>
      <xdr:colOff>171691</xdr:colOff>
      <xdr:row>37</xdr:row>
      <xdr:rowOff>113269</xdr:rowOff>
    </xdr:from>
    <xdr:to>
      <xdr:col>12</xdr:col>
      <xdr:colOff>869950</xdr:colOff>
      <xdr:row>48</xdr:row>
      <xdr:rowOff>185777</xdr:rowOff>
    </xdr:to>
    <xdr:sp macro="" textlink="">
      <xdr:nvSpPr>
        <xdr:cNvPr id="4" name="TextBox 3">
          <a:extLst>
            <a:ext uri="{FF2B5EF4-FFF2-40B4-BE49-F238E27FC236}">
              <a16:creationId xmlns:a16="http://schemas.microsoft.com/office/drawing/2014/main" id="{DD45A2BC-E951-4690-8B51-C47357F79B12}"/>
            </a:ext>
          </a:extLst>
        </xdr:cNvPr>
        <xdr:cNvSpPr txBox="1"/>
      </xdr:nvSpPr>
      <xdr:spPr>
        <a:xfrm>
          <a:off x="10988400" y="8433397"/>
          <a:ext cx="1995396" cy="228144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2000" b="1"/>
            <a:t>B</a:t>
          </a:r>
          <a:r>
            <a:rPr lang="en-GB" sz="1400" b="0"/>
            <a:t>rackets              </a:t>
          </a:r>
          <a:r>
            <a:rPr lang="en-GB" sz="1600" b="0"/>
            <a:t>( )</a:t>
          </a:r>
        </a:p>
        <a:p>
          <a:r>
            <a:rPr lang="en-GB" sz="1800" b="1"/>
            <a:t>I</a:t>
          </a:r>
          <a:r>
            <a:rPr lang="en-GB" sz="1400" b="0"/>
            <a:t>ndices                  </a:t>
          </a:r>
          <a:r>
            <a:rPr lang="en-GB" sz="1600" b="0"/>
            <a:t>4</a:t>
          </a:r>
          <a:r>
            <a:rPr lang="en-GB" sz="1200" b="0"/>
            <a:t>2</a:t>
          </a:r>
          <a:endParaRPr lang="en-GB" sz="1600" b="0"/>
        </a:p>
        <a:p>
          <a:r>
            <a:rPr lang="en-GB" sz="2000" b="1"/>
            <a:t>D</a:t>
          </a:r>
          <a:r>
            <a:rPr lang="en-GB" sz="1400" b="0"/>
            <a:t>ivision                 </a:t>
          </a:r>
          <a:r>
            <a:rPr lang="en-GB" sz="1600" b="0"/>
            <a:t>/</a:t>
          </a:r>
        </a:p>
        <a:p>
          <a:r>
            <a:rPr lang="en-GB" sz="1800" b="1"/>
            <a:t>M</a:t>
          </a:r>
          <a:r>
            <a:rPr lang="en-GB" sz="1400" b="0"/>
            <a:t>ultiplication      </a:t>
          </a:r>
          <a:r>
            <a:rPr lang="en-GB" sz="1600" b="0"/>
            <a:t>x</a:t>
          </a:r>
          <a:r>
            <a:rPr lang="en-GB" sz="1600" b="0" baseline="0"/>
            <a:t> or *</a:t>
          </a:r>
          <a:endParaRPr lang="en-GB" sz="1600" b="0"/>
        </a:p>
        <a:p>
          <a:r>
            <a:rPr lang="en-GB" sz="2000" b="1"/>
            <a:t>A</a:t>
          </a:r>
          <a:r>
            <a:rPr lang="en-GB" sz="1400" b="0"/>
            <a:t>ddition                </a:t>
          </a:r>
          <a:r>
            <a:rPr lang="en-GB" sz="1800" b="0"/>
            <a:t>+</a:t>
          </a:r>
        </a:p>
        <a:p>
          <a:r>
            <a:rPr lang="en-GB" sz="2000" b="1"/>
            <a:t>S</a:t>
          </a:r>
          <a:r>
            <a:rPr lang="en-GB" sz="1400" b="0"/>
            <a:t>ubraction             </a:t>
          </a:r>
          <a:r>
            <a:rPr lang="en-GB" sz="2000" b="0"/>
            <a:t>-</a:t>
          </a:r>
          <a:endParaRPr lang="en-GB" sz="1400" b="0"/>
        </a:p>
      </xdr:txBody>
    </xdr:sp>
    <xdr:clientData/>
  </xdr:twoCellAnchor>
  <xdr:twoCellAnchor>
    <xdr:from>
      <xdr:col>10</xdr:col>
      <xdr:colOff>203483</xdr:colOff>
      <xdr:row>33</xdr:row>
      <xdr:rowOff>81976</xdr:rowOff>
    </xdr:from>
    <xdr:to>
      <xdr:col>11</xdr:col>
      <xdr:colOff>1224176</xdr:colOff>
      <xdr:row>36</xdr:row>
      <xdr:rowOff>59889</xdr:rowOff>
    </xdr:to>
    <xdr:sp macro="" textlink="">
      <xdr:nvSpPr>
        <xdr:cNvPr id="5" name="TextBox 4">
          <a:extLst>
            <a:ext uri="{FF2B5EF4-FFF2-40B4-BE49-F238E27FC236}">
              <a16:creationId xmlns:a16="http://schemas.microsoft.com/office/drawing/2014/main" id="{86BCEF12-A8BA-96C8-CD70-C8AC32777397}"/>
            </a:ext>
          </a:extLst>
        </xdr:cNvPr>
        <xdr:cNvSpPr txBox="1"/>
      </xdr:nvSpPr>
      <xdr:spPr>
        <a:xfrm>
          <a:off x="9636218" y="7598856"/>
          <a:ext cx="2404667" cy="580349"/>
        </a:xfrm>
        <a:prstGeom prst="rect">
          <a:avLst/>
        </a:prstGeom>
        <a:solidFill>
          <a:schemeClr val="lt1"/>
        </a:solidFill>
        <a:ln w="12700"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800" b="1"/>
            <a:t>B O D M A S</a:t>
          </a:r>
        </a:p>
      </xdr:txBody>
    </xdr:sp>
    <xdr:clientData/>
  </xdr:twoCellAnchor>
  <xdr:twoCellAnchor>
    <xdr:from>
      <xdr:col>2</xdr:col>
      <xdr:colOff>463550</xdr:colOff>
      <xdr:row>24</xdr:row>
      <xdr:rowOff>146050</xdr:rowOff>
    </xdr:from>
    <xdr:to>
      <xdr:col>5</xdr:col>
      <xdr:colOff>323850</xdr:colOff>
      <xdr:row>30</xdr:row>
      <xdr:rowOff>44450</xdr:rowOff>
    </xdr:to>
    <xdr:sp macro="" textlink="">
      <xdr:nvSpPr>
        <xdr:cNvPr id="7" name="TextBox 6">
          <a:extLst>
            <a:ext uri="{FF2B5EF4-FFF2-40B4-BE49-F238E27FC236}">
              <a16:creationId xmlns:a16="http://schemas.microsoft.com/office/drawing/2014/main" id="{094BB913-711E-43FD-BFDA-968217297D83}"/>
            </a:ext>
          </a:extLst>
        </xdr:cNvPr>
        <xdr:cNvSpPr txBox="1"/>
      </xdr:nvSpPr>
      <xdr:spPr>
        <a:xfrm>
          <a:off x="1352550" y="5238750"/>
          <a:ext cx="2527300" cy="1117600"/>
        </a:xfrm>
        <a:prstGeom prst="rect">
          <a:avLst/>
        </a:prstGeom>
        <a:solidFill>
          <a:srgbClr val="F9F6FC"/>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t>Answer/Solution:</a:t>
          </a:r>
        </a:p>
        <a:p>
          <a:pPr algn="ctr"/>
          <a:r>
            <a:rPr lang="en-GB" sz="2400" b="1"/>
            <a:t>8 + 21 = 29</a:t>
          </a:r>
        </a:p>
      </xdr:txBody>
    </xdr:sp>
    <xdr:clientData/>
  </xdr:twoCellAnchor>
  <xdr:twoCellAnchor>
    <xdr:from>
      <xdr:col>2</xdr:col>
      <xdr:colOff>425450</xdr:colOff>
      <xdr:row>24</xdr:row>
      <xdr:rowOff>114300</xdr:rowOff>
    </xdr:from>
    <xdr:to>
      <xdr:col>5</xdr:col>
      <xdr:colOff>349250</xdr:colOff>
      <xdr:row>30</xdr:row>
      <xdr:rowOff>57150</xdr:rowOff>
    </xdr:to>
    <xdr:sp macro="" textlink="">
      <xdr:nvSpPr>
        <xdr:cNvPr id="6" name="TextBox 5">
          <a:extLst>
            <a:ext uri="{FF2B5EF4-FFF2-40B4-BE49-F238E27FC236}">
              <a16:creationId xmlns:a16="http://schemas.microsoft.com/office/drawing/2014/main" id="{0C9958F9-8573-4B2F-4334-317E655DFB3A}"/>
            </a:ext>
          </a:extLst>
        </xdr:cNvPr>
        <xdr:cNvSpPr txBox="1"/>
      </xdr:nvSpPr>
      <xdr:spPr>
        <a:xfrm>
          <a:off x="1314450" y="5823778"/>
          <a:ext cx="2618409" cy="1168676"/>
        </a:xfrm>
        <a:prstGeom prst="rect">
          <a:avLst/>
        </a:prstGeom>
        <a:solidFill>
          <a:srgbClr val="F9F6FC"/>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t>8 + 3 * 7</a:t>
          </a:r>
        </a:p>
      </xdr:txBody>
    </xdr:sp>
    <xdr:clientData/>
  </xdr:twoCellAnchor>
  <xdr:twoCellAnchor>
    <xdr:from>
      <xdr:col>2</xdr:col>
      <xdr:colOff>393700</xdr:colOff>
      <xdr:row>32</xdr:row>
      <xdr:rowOff>101600</xdr:rowOff>
    </xdr:from>
    <xdr:to>
      <xdr:col>5</xdr:col>
      <xdr:colOff>254000</xdr:colOff>
      <xdr:row>38</xdr:row>
      <xdr:rowOff>88900</xdr:rowOff>
    </xdr:to>
    <xdr:sp macro="" textlink="">
      <xdr:nvSpPr>
        <xdr:cNvPr id="9" name="TextBox 8">
          <a:extLst>
            <a:ext uri="{FF2B5EF4-FFF2-40B4-BE49-F238E27FC236}">
              <a16:creationId xmlns:a16="http://schemas.microsoft.com/office/drawing/2014/main" id="{3C689560-BAA6-4B38-8B89-0C54D4F10D30}"/>
            </a:ext>
          </a:extLst>
        </xdr:cNvPr>
        <xdr:cNvSpPr txBox="1"/>
      </xdr:nvSpPr>
      <xdr:spPr>
        <a:xfrm>
          <a:off x="1282700" y="6908800"/>
          <a:ext cx="2527300" cy="1206500"/>
        </a:xfrm>
        <a:prstGeom prst="rect">
          <a:avLst/>
        </a:prstGeom>
        <a:solidFill>
          <a:srgbClr val="F9F6FC"/>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t>Answer/Solution:</a:t>
          </a:r>
        </a:p>
        <a:p>
          <a:pPr algn="ctr"/>
          <a:r>
            <a:rPr lang="en-GB" sz="2400" b="1"/>
            <a:t>18</a:t>
          </a:r>
          <a:r>
            <a:rPr lang="en-GB" sz="2400" b="1" baseline="0"/>
            <a:t> / 12 = 1.5</a:t>
          </a:r>
          <a:endParaRPr lang="en-GB" sz="2400" b="1"/>
        </a:p>
      </xdr:txBody>
    </xdr:sp>
    <xdr:clientData/>
  </xdr:twoCellAnchor>
  <xdr:twoCellAnchor>
    <xdr:from>
      <xdr:col>2</xdr:col>
      <xdr:colOff>387350</xdr:colOff>
      <xdr:row>32</xdr:row>
      <xdr:rowOff>76200</xdr:rowOff>
    </xdr:from>
    <xdr:to>
      <xdr:col>5</xdr:col>
      <xdr:colOff>311150</xdr:colOff>
      <xdr:row>38</xdr:row>
      <xdr:rowOff>107950</xdr:rowOff>
    </xdr:to>
    <xdr:sp macro="" textlink="">
      <xdr:nvSpPr>
        <xdr:cNvPr id="8" name="TextBox 7">
          <a:extLst>
            <a:ext uri="{FF2B5EF4-FFF2-40B4-BE49-F238E27FC236}">
              <a16:creationId xmlns:a16="http://schemas.microsoft.com/office/drawing/2014/main" id="{F8A873C9-6F9A-4008-B2C2-A5512E5B905D}"/>
            </a:ext>
          </a:extLst>
        </xdr:cNvPr>
        <xdr:cNvSpPr txBox="1"/>
      </xdr:nvSpPr>
      <xdr:spPr>
        <a:xfrm>
          <a:off x="1276350" y="7436678"/>
          <a:ext cx="2618409" cy="1257576"/>
        </a:xfrm>
        <a:prstGeom prst="rect">
          <a:avLst/>
        </a:prstGeom>
        <a:solidFill>
          <a:srgbClr val="F9F6FC"/>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t>18</a:t>
          </a:r>
          <a:r>
            <a:rPr lang="en-GB" sz="2400" b="1" baseline="0"/>
            <a:t> / (8 + 4)</a:t>
          </a:r>
          <a:endParaRPr lang="en-GB" sz="2400" b="1"/>
        </a:p>
      </xdr:txBody>
    </xdr:sp>
    <xdr:clientData/>
  </xdr:twoCellAnchor>
  <xdr:twoCellAnchor>
    <xdr:from>
      <xdr:col>2</xdr:col>
      <xdr:colOff>412750</xdr:colOff>
      <xdr:row>40</xdr:row>
      <xdr:rowOff>158750</xdr:rowOff>
    </xdr:from>
    <xdr:to>
      <xdr:col>5</xdr:col>
      <xdr:colOff>273050</xdr:colOff>
      <xdr:row>46</xdr:row>
      <xdr:rowOff>146050</xdr:rowOff>
    </xdr:to>
    <xdr:sp macro="" textlink="">
      <xdr:nvSpPr>
        <xdr:cNvPr id="11" name="TextBox 10">
          <a:extLst>
            <a:ext uri="{FF2B5EF4-FFF2-40B4-BE49-F238E27FC236}">
              <a16:creationId xmlns:a16="http://schemas.microsoft.com/office/drawing/2014/main" id="{E9D44206-3370-4C92-95C4-51B5AFED3E22}"/>
            </a:ext>
          </a:extLst>
        </xdr:cNvPr>
        <xdr:cNvSpPr txBox="1"/>
      </xdr:nvSpPr>
      <xdr:spPr>
        <a:xfrm>
          <a:off x="1301750" y="8521700"/>
          <a:ext cx="2527300" cy="1206500"/>
        </a:xfrm>
        <a:prstGeom prst="rect">
          <a:avLst/>
        </a:prstGeom>
        <a:solidFill>
          <a:srgbClr val="F9F6FC"/>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t>Answer/Solution:</a:t>
          </a:r>
        </a:p>
        <a:p>
          <a:pPr algn="ctr"/>
          <a:r>
            <a:rPr lang="en-GB" sz="2400" b="1"/>
            <a:t>68</a:t>
          </a:r>
          <a:r>
            <a:rPr lang="en-GB" sz="2400" b="1" baseline="0"/>
            <a:t> + 3 = 71</a:t>
          </a:r>
          <a:endParaRPr lang="en-GB" sz="2400" b="1"/>
        </a:p>
      </xdr:txBody>
    </xdr:sp>
    <xdr:clientData/>
  </xdr:twoCellAnchor>
  <xdr:twoCellAnchor>
    <xdr:from>
      <xdr:col>2</xdr:col>
      <xdr:colOff>368300</xdr:colOff>
      <xdr:row>40</xdr:row>
      <xdr:rowOff>114300</xdr:rowOff>
    </xdr:from>
    <xdr:to>
      <xdr:col>5</xdr:col>
      <xdr:colOff>292100</xdr:colOff>
      <xdr:row>46</xdr:row>
      <xdr:rowOff>146050</xdr:rowOff>
    </xdr:to>
    <xdr:sp macro="" textlink="">
      <xdr:nvSpPr>
        <xdr:cNvPr id="10" name="TextBox 9">
          <a:extLst>
            <a:ext uri="{FF2B5EF4-FFF2-40B4-BE49-F238E27FC236}">
              <a16:creationId xmlns:a16="http://schemas.microsoft.com/office/drawing/2014/main" id="{1E9BD951-F9A2-4B23-A772-5904E5BAC5DD}"/>
            </a:ext>
          </a:extLst>
        </xdr:cNvPr>
        <xdr:cNvSpPr txBox="1"/>
      </xdr:nvSpPr>
      <xdr:spPr>
        <a:xfrm>
          <a:off x="1257300" y="9109213"/>
          <a:ext cx="2618409" cy="1257576"/>
        </a:xfrm>
        <a:prstGeom prst="rect">
          <a:avLst/>
        </a:prstGeom>
        <a:solidFill>
          <a:srgbClr val="F9F6FC"/>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t>(17</a:t>
          </a:r>
          <a:r>
            <a:rPr lang="en-GB" sz="2400" b="1" baseline="0"/>
            <a:t> * 4) + (9 / 3)</a:t>
          </a:r>
          <a:endParaRPr lang="en-GB" sz="2400" b="1"/>
        </a:p>
      </xdr:txBody>
    </xdr:sp>
    <xdr:clientData/>
  </xdr:twoCellAnchor>
  <xdr:twoCellAnchor>
    <xdr:from>
      <xdr:col>2</xdr:col>
      <xdr:colOff>209550</xdr:colOff>
      <xdr:row>14</xdr:row>
      <xdr:rowOff>190501</xdr:rowOff>
    </xdr:from>
    <xdr:to>
      <xdr:col>9</xdr:col>
      <xdr:colOff>457200</xdr:colOff>
      <xdr:row>21</xdr:row>
      <xdr:rowOff>232020</xdr:rowOff>
    </xdr:to>
    <xdr:sp macro="" textlink="">
      <xdr:nvSpPr>
        <xdr:cNvPr id="12" name="TextBox 11">
          <a:extLst>
            <a:ext uri="{FF2B5EF4-FFF2-40B4-BE49-F238E27FC236}">
              <a16:creationId xmlns:a16="http://schemas.microsoft.com/office/drawing/2014/main" id="{B59095C0-AB06-D179-6253-438D397353CA}"/>
            </a:ext>
          </a:extLst>
        </xdr:cNvPr>
        <xdr:cNvSpPr txBox="1"/>
      </xdr:nvSpPr>
      <xdr:spPr>
        <a:xfrm>
          <a:off x="1096922" y="3161975"/>
          <a:ext cx="7546079" cy="1950590"/>
        </a:xfrm>
        <a:prstGeom prst="rect">
          <a:avLst/>
        </a:prstGeom>
        <a:solidFill>
          <a:schemeClr val="lt1"/>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u="sng"/>
            <a:t>Solve the</a:t>
          </a:r>
          <a:r>
            <a:rPr lang="en-GB" sz="1200" b="1" u="sng" baseline="0"/>
            <a:t> formulas below</a:t>
          </a:r>
        </a:p>
        <a:p>
          <a:pPr algn="ctr"/>
          <a:endParaRPr lang="en-GB" sz="1200" b="1" u="sng" baseline="0"/>
        </a:p>
        <a:p>
          <a:r>
            <a:rPr lang="en-GB" sz="1200" baseline="0"/>
            <a:t>Type your answers in the "Answer here" areas. If your answer is correct, the cell will turn green and the font to the colour white. If incorrect the cell formatting will stay the same. </a:t>
          </a:r>
        </a:p>
        <a:p>
          <a:endParaRPr lang="en-GB" sz="1200" baseline="0"/>
        </a:p>
        <a:p>
          <a:r>
            <a:rPr lang="en-GB" sz="1200" baseline="0"/>
            <a:t>To reveal the answer/solution, move the light purple text box out of the way. There is another text box behind with the answer/solution.</a:t>
          </a:r>
        </a:p>
        <a:p>
          <a:endParaRPr lang="en-GB" sz="1200" baseline="0"/>
        </a:p>
        <a:p>
          <a:r>
            <a:rPr lang="en-GB" sz="1200" baseline="0"/>
            <a:t>You </a:t>
          </a:r>
          <a:r>
            <a:rPr lang="en-GB" sz="1200" b="1" u="sng" baseline="0"/>
            <a:t>cannot use</a:t>
          </a:r>
          <a:r>
            <a:rPr lang="en-GB" sz="1200" b="1" u="none" baseline="0"/>
            <a:t> </a:t>
          </a:r>
          <a:r>
            <a:rPr lang="en-GB" sz="1200" baseline="0"/>
            <a:t>excel to work out the answers. Use a paper and pen/pencil, or maybe solve them mentally :) </a:t>
          </a:r>
        </a:p>
      </xdr:txBody>
    </xdr:sp>
    <xdr:clientData/>
  </xdr:twoCellAnchor>
  <xdr:twoCellAnchor>
    <xdr:from>
      <xdr:col>2</xdr:col>
      <xdr:colOff>425450</xdr:colOff>
      <xdr:row>48</xdr:row>
      <xdr:rowOff>171450</xdr:rowOff>
    </xdr:from>
    <xdr:to>
      <xdr:col>5</xdr:col>
      <xdr:colOff>285750</xdr:colOff>
      <xdr:row>54</xdr:row>
      <xdr:rowOff>158750</xdr:rowOff>
    </xdr:to>
    <xdr:sp macro="" textlink="">
      <xdr:nvSpPr>
        <xdr:cNvPr id="14" name="TextBox 13">
          <a:extLst>
            <a:ext uri="{FF2B5EF4-FFF2-40B4-BE49-F238E27FC236}">
              <a16:creationId xmlns:a16="http://schemas.microsoft.com/office/drawing/2014/main" id="{1B1EAFF7-B3BF-40A9-A6DF-C131BB40EC15}"/>
            </a:ext>
          </a:extLst>
        </xdr:cNvPr>
        <xdr:cNvSpPr txBox="1"/>
      </xdr:nvSpPr>
      <xdr:spPr>
        <a:xfrm>
          <a:off x="1314450" y="10160000"/>
          <a:ext cx="2527300" cy="1206500"/>
        </a:xfrm>
        <a:prstGeom prst="rect">
          <a:avLst/>
        </a:prstGeom>
        <a:solidFill>
          <a:srgbClr val="F9F6FC"/>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t>Answer/Solution:</a:t>
          </a:r>
        </a:p>
        <a:p>
          <a:pPr algn="ctr"/>
          <a:r>
            <a:rPr lang="en-GB" sz="2400" b="1"/>
            <a:t>7 * 10 = 70</a:t>
          </a:r>
        </a:p>
      </xdr:txBody>
    </xdr:sp>
    <xdr:clientData/>
  </xdr:twoCellAnchor>
  <xdr:twoCellAnchor>
    <xdr:from>
      <xdr:col>2</xdr:col>
      <xdr:colOff>381000</xdr:colOff>
      <xdr:row>48</xdr:row>
      <xdr:rowOff>146050</xdr:rowOff>
    </xdr:from>
    <xdr:to>
      <xdr:col>5</xdr:col>
      <xdr:colOff>304800</xdr:colOff>
      <xdr:row>54</xdr:row>
      <xdr:rowOff>177800</xdr:rowOff>
    </xdr:to>
    <xdr:sp macro="" textlink="">
      <xdr:nvSpPr>
        <xdr:cNvPr id="13" name="TextBox 12">
          <a:extLst>
            <a:ext uri="{FF2B5EF4-FFF2-40B4-BE49-F238E27FC236}">
              <a16:creationId xmlns:a16="http://schemas.microsoft.com/office/drawing/2014/main" id="{187A9968-ABC2-4376-932E-4F37DE655221}"/>
            </a:ext>
          </a:extLst>
        </xdr:cNvPr>
        <xdr:cNvSpPr txBox="1"/>
      </xdr:nvSpPr>
      <xdr:spPr>
        <a:xfrm>
          <a:off x="1271085" y="10675110"/>
          <a:ext cx="2615766" cy="1236622"/>
        </a:xfrm>
        <a:prstGeom prst="rect">
          <a:avLst/>
        </a:prstGeom>
        <a:solidFill>
          <a:srgbClr val="F9F6FC"/>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t>(11 - 2 * 2)</a:t>
          </a:r>
          <a:r>
            <a:rPr lang="en-GB" sz="2400" b="1" baseline="0"/>
            <a:t> * 10</a:t>
          </a:r>
          <a:endParaRPr lang="en-GB" sz="2400" b="1"/>
        </a:p>
      </xdr:txBody>
    </xdr:sp>
    <xdr:clientData/>
  </xdr:twoCellAnchor>
  <xdr:twoCellAnchor>
    <xdr:from>
      <xdr:col>2</xdr:col>
      <xdr:colOff>419100</xdr:colOff>
      <xdr:row>57</xdr:row>
      <xdr:rowOff>120650</xdr:rowOff>
    </xdr:from>
    <xdr:to>
      <xdr:col>5</xdr:col>
      <xdr:colOff>279400</xdr:colOff>
      <xdr:row>63</xdr:row>
      <xdr:rowOff>107950</xdr:rowOff>
    </xdr:to>
    <xdr:sp macro="" textlink="">
      <xdr:nvSpPr>
        <xdr:cNvPr id="16" name="TextBox 15">
          <a:extLst>
            <a:ext uri="{FF2B5EF4-FFF2-40B4-BE49-F238E27FC236}">
              <a16:creationId xmlns:a16="http://schemas.microsoft.com/office/drawing/2014/main" id="{8E49A924-EC6C-4FBC-9A02-4161E23BC917}"/>
            </a:ext>
          </a:extLst>
        </xdr:cNvPr>
        <xdr:cNvSpPr txBox="1"/>
      </xdr:nvSpPr>
      <xdr:spPr>
        <a:xfrm>
          <a:off x="1308100" y="12566650"/>
          <a:ext cx="2527300" cy="1206500"/>
        </a:xfrm>
        <a:prstGeom prst="rect">
          <a:avLst/>
        </a:prstGeom>
        <a:solidFill>
          <a:srgbClr val="F9F6FC"/>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t>Answer/Solution:</a:t>
          </a:r>
        </a:p>
        <a:p>
          <a:pPr algn="ctr"/>
          <a:r>
            <a:rPr lang="en-GB" sz="2400" b="1"/>
            <a:t>9 * 2 * 10 = 180</a:t>
          </a:r>
        </a:p>
      </xdr:txBody>
    </xdr:sp>
    <xdr:clientData/>
  </xdr:twoCellAnchor>
  <xdr:twoCellAnchor>
    <xdr:from>
      <xdr:col>2</xdr:col>
      <xdr:colOff>394622</xdr:colOff>
      <xdr:row>57</xdr:row>
      <xdr:rowOff>94328</xdr:rowOff>
    </xdr:from>
    <xdr:to>
      <xdr:col>5</xdr:col>
      <xdr:colOff>318422</xdr:colOff>
      <xdr:row>63</xdr:row>
      <xdr:rowOff>126078</xdr:rowOff>
    </xdr:to>
    <xdr:sp macro="" textlink="">
      <xdr:nvSpPr>
        <xdr:cNvPr id="15" name="TextBox 14">
          <a:extLst>
            <a:ext uri="{FF2B5EF4-FFF2-40B4-BE49-F238E27FC236}">
              <a16:creationId xmlns:a16="http://schemas.microsoft.com/office/drawing/2014/main" id="{1F73AF1E-97CF-4559-8EB9-4559E6409913}"/>
            </a:ext>
          </a:extLst>
        </xdr:cNvPr>
        <xdr:cNvSpPr txBox="1"/>
      </xdr:nvSpPr>
      <xdr:spPr>
        <a:xfrm>
          <a:off x="1284707" y="12430696"/>
          <a:ext cx="2615766" cy="1236621"/>
        </a:xfrm>
        <a:prstGeom prst="rect">
          <a:avLst/>
        </a:prstGeom>
        <a:solidFill>
          <a:srgbClr val="F9F6FC"/>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t>(11 - 2) * 2</a:t>
          </a:r>
          <a:r>
            <a:rPr lang="en-GB" sz="2400" b="1" baseline="0"/>
            <a:t> * 10</a:t>
          </a:r>
          <a:endParaRPr lang="en-GB" sz="24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641350</xdr:colOff>
      <xdr:row>36</xdr:row>
      <xdr:rowOff>161925</xdr:rowOff>
    </xdr:from>
    <xdr:to>
      <xdr:col>7</xdr:col>
      <xdr:colOff>317138</xdr:colOff>
      <xdr:row>39</xdr:row>
      <xdr:rowOff>69809</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B8FBF10-7763-4E25-9BC9-2CC5C4EEB9E9}"/>
            </a:ext>
          </a:extLst>
        </xdr:cNvPr>
        <xdr:cNvSpPr/>
      </xdr:nvSpPr>
      <xdr:spPr>
        <a:xfrm>
          <a:off x="2451100" y="6791325"/>
          <a:ext cx="2704738" cy="460334"/>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Navigation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107950</xdr:colOff>
      <xdr:row>37</xdr:row>
      <xdr:rowOff>66675</xdr:rowOff>
    </xdr:from>
    <xdr:to>
      <xdr:col>5</xdr:col>
      <xdr:colOff>88900</xdr:colOff>
      <xdr:row>39</xdr:row>
      <xdr:rowOff>158709</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1E981E5-93DB-4B01-B095-734A91E40FB3}"/>
            </a:ext>
          </a:extLst>
        </xdr:cNvPr>
        <xdr:cNvSpPr/>
      </xdr:nvSpPr>
      <xdr:spPr>
        <a:xfrm>
          <a:off x="717550" y="6880225"/>
          <a:ext cx="2667000" cy="460334"/>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Navigation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347062</xdr:colOff>
      <xdr:row>49</xdr:row>
      <xdr:rowOff>132228</xdr:rowOff>
    </xdr:from>
    <xdr:to>
      <xdr:col>6</xdr:col>
      <xdr:colOff>84079</xdr:colOff>
      <xdr:row>52</xdr:row>
      <xdr:rowOff>4584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AAFCDBB-F5CA-417C-A3DF-A2AA0F28D6BF}"/>
            </a:ext>
          </a:extLst>
        </xdr:cNvPr>
        <xdr:cNvSpPr/>
      </xdr:nvSpPr>
      <xdr:spPr>
        <a:xfrm>
          <a:off x="1632003" y="9362140"/>
          <a:ext cx="2310635" cy="432650"/>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Navigation</a:t>
          </a:r>
        </a:p>
      </xdr:txBody>
    </xdr:sp>
    <xdr:clientData/>
  </xdr:twoCellAnchor>
  <xdr:twoCellAnchor>
    <xdr:from>
      <xdr:col>8</xdr:col>
      <xdr:colOff>423728</xdr:colOff>
      <xdr:row>4</xdr:row>
      <xdr:rowOff>158750</xdr:rowOff>
    </xdr:from>
    <xdr:to>
      <xdr:col>15</xdr:col>
      <xdr:colOff>310599</xdr:colOff>
      <xdr:row>18</xdr:row>
      <xdr:rowOff>138044</xdr:rowOff>
    </xdr:to>
    <xdr:graphicFrame macro="">
      <xdr:nvGraphicFramePr>
        <xdr:cNvPr id="3" name="Chart 2">
          <a:extLst>
            <a:ext uri="{FF2B5EF4-FFF2-40B4-BE49-F238E27FC236}">
              <a16:creationId xmlns:a16="http://schemas.microsoft.com/office/drawing/2014/main" id="{F3427376-CCDA-D283-1C37-966328644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633619</xdr:colOff>
      <xdr:row>26</xdr:row>
      <xdr:rowOff>184841</xdr:rowOff>
    </xdr:from>
    <xdr:to>
      <xdr:col>12</xdr:col>
      <xdr:colOff>352010</xdr:colOff>
      <xdr:row>41</xdr:row>
      <xdr:rowOff>13804</xdr:rowOff>
    </xdr:to>
    <xdr:graphicFrame macro="">
      <xdr:nvGraphicFramePr>
        <xdr:cNvPr id="4" name="Chart 3">
          <a:extLst>
            <a:ext uri="{FF2B5EF4-FFF2-40B4-BE49-F238E27FC236}">
              <a16:creationId xmlns:a16="http://schemas.microsoft.com/office/drawing/2014/main" id="{FB627F55-B404-731F-98A9-24E6450A7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31994</xdr:colOff>
      <xdr:row>36</xdr:row>
      <xdr:rowOff>70321</xdr:rowOff>
    </xdr:from>
    <xdr:to>
      <xdr:col>10</xdr:col>
      <xdr:colOff>104914</xdr:colOff>
      <xdr:row>38</xdr:row>
      <xdr:rowOff>164971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18EDE66-F46E-4C19-9E1E-9359446D67D7}"/>
            </a:ext>
          </a:extLst>
        </xdr:cNvPr>
        <xdr:cNvSpPr/>
      </xdr:nvSpPr>
      <xdr:spPr>
        <a:xfrm>
          <a:off x="4581907" y="6779234"/>
          <a:ext cx="2568746" cy="459085"/>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Navigation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570803</xdr:colOff>
      <xdr:row>6</xdr:row>
      <xdr:rowOff>22882</xdr:rowOff>
    </xdr:from>
    <xdr:to>
      <xdr:col>10</xdr:col>
      <xdr:colOff>23091</xdr:colOff>
      <xdr:row>10</xdr:row>
      <xdr:rowOff>124024</xdr:rowOff>
    </xdr:to>
    <xdr:sp macro="" textlink="">
      <xdr:nvSpPr>
        <xdr:cNvPr id="2" name="TextBox 1">
          <a:extLst>
            <a:ext uri="{FF2B5EF4-FFF2-40B4-BE49-F238E27FC236}">
              <a16:creationId xmlns:a16="http://schemas.microsoft.com/office/drawing/2014/main" id="{2D5FEAE9-3C5F-402B-ADFF-5B038CFA1D97}"/>
            </a:ext>
          </a:extLst>
        </xdr:cNvPr>
        <xdr:cNvSpPr txBox="1"/>
      </xdr:nvSpPr>
      <xdr:spPr>
        <a:xfrm>
          <a:off x="1853503" y="1273832"/>
          <a:ext cx="7275488" cy="837742"/>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GB" sz="1400">
              <a:solidFill>
                <a:schemeClr val="bg1">
                  <a:lumMod val="95000"/>
                </a:schemeClr>
              </a:solidFill>
              <a:latin typeface="Bookman Old Style" panose="02050604050505020204" pitchFamily="18" charset="0"/>
            </a:rPr>
            <a:t>The 'If/And' function requires both sides or multiple logical tests to be true for the result to be "True" or as you specify. If any side is false, the result will be "False" or as you specify. The 'Or' Element is straightforward in its purpose.</a:t>
          </a:r>
          <a:endParaRPr lang="en-GB" sz="1400" baseline="0">
            <a:solidFill>
              <a:schemeClr val="bg1">
                <a:lumMod val="95000"/>
              </a:schemeClr>
            </a:solidFill>
            <a:latin typeface="Bookman Old Style" panose="02050604050505020204" pitchFamily="18" charset="0"/>
          </a:endParaRPr>
        </a:p>
      </xdr:txBody>
    </xdr:sp>
    <xdr:clientData/>
  </xdr:twoCellAnchor>
  <xdr:twoCellAnchor>
    <xdr:from>
      <xdr:col>4</xdr:col>
      <xdr:colOff>927100</xdr:colOff>
      <xdr:row>88</xdr:row>
      <xdr:rowOff>101600</xdr:rowOff>
    </xdr:from>
    <xdr:to>
      <xdr:col>7</xdr:col>
      <xdr:colOff>91271</xdr:colOff>
      <xdr:row>90</xdr:row>
      <xdr:rowOff>155856</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4D9FD2E-D5C1-4DF6-802C-C2543DC0D6CC}"/>
            </a:ext>
          </a:extLst>
        </xdr:cNvPr>
        <xdr:cNvSpPr/>
      </xdr:nvSpPr>
      <xdr:spPr>
        <a:xfrm>
          <a:off x="3803650" y="16795750"/>
          <a:ext cx="2288371" cy="422556"/>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Navigation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6568</xdr:colOff>
      <xdr:row>4</xdr:row>
      <xdr:rowOff>183931</xdr:rowOff>
    </xdr:from>
    <xdr:to>
      <xdr:col>8</xdr:col>
      <xdr:colOff>197070</xdr:colOff>
      <xdr:row>8</xdr:row>
      <xdr:rowOff>108324</xdr:rowOff>
    </xdr:to>
    <xdr:sp macro="" textlink="">
      <xdr:nvSpPr>
        <xdr:cNvPr id="2" name="TextBox 1">
          <a:extLst>
            <a:ext uri="{FF2B5EF4-FFF2-40B4-BE49-F238E27FC236}">
              <a16:creationId xmlns:a16="http://schemas.microsoft.com/office/drawing/2014/main" id="{0DDD3A67-F5C5-4703-956C-60ED9B0252EC}"/>
            </a:ext>
          </a:extLst>
        </xdr:cNvPr>
        <xdr:cNvSpPr txBox="1"/>
      </xdr:nvSpPr>
      <xdr:spPr>
        <a:xfrm>
          <a:off x="645303" y="1091607"/>
          <a:ext cx="4261973" cy="671452"/>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GB" sz="1600" b="0" i="1">
              <a:solidFill>
                <a:schemeClr val="bg1"/>
              </a:solidFill>
              <a:latin typeface="Bernard MT Condensed" panose="02050806060905020404" pitchFamily="18" charset="0"/>
            </a:rPr>
            <a:t>The 'Conatenate' function can be used to link</a:t>
          </a:r>
          <a:r>
            <a:rPr lang="en-GB" sz="1600" b="0" i="1" baseline="0">
              <a:solidFill>
                <a:schemeClr val="bg1"/>
              </a:solidFill>
              <a:latin typeface="Bernard MT Condensed" panose="02050806060905020404" pitchFamily="18" charset="0"/>
            </a:rPr>
            <a:t> infromation/data together in a chain or series </a:t>
          </a:r>
          <a:endParaRPr lang="en-GB" sz="1600" b="0" i="1">
            <a:solidFill>
              <a:schemeClr val="bg1"/>
            </a:solidFill>
            <a:latin typeface="Bernard MT Condensed" panose="02050806060905020404" pitchFamily="18" charset="0"/>
          </a:endParaRPr>
        </a:p>
      </xdr:txBody>
    </xdr:sp>
    <xdr:clientData/>
  </xdr:twoCellAnchor>
  <xdr:twoCellAnchor>
    <xdr:from>
      <xdr:col>2</xdr:col>
      <xdr:colOff>7996</xdr:colOff>
      <xdr:row>44</xdr:row>
      <xdr:rowOff>142233</xdr:rowOff>
    </xdr:from>
    <xdr:to>
      <xdr:col>5</xdr:col>
      <xdr:colOff>377857</xdr:colOff>
      <xdr:row>47</xdr:row>
      <xdr:rowOff>10853</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1A431856-7FF2-450F-9AC9-4282CC8053F3}"/>
            </a:ext>
          </a:extLst>
        </xdr:cNvPr>
        <xdr:cNvSpPr/>
      </xdr:nvSpPr>
      <xdr:spPr>
        <a:xfrm>
          <a:off x="620909" y="8681603"/>
          <a:ext cx="2208600" cy="440120"/>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Navigation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6568</xdr:colOff>
      <xdr:row>4</xdr:row>
      <xdr:rowOff>183932</xdr:rowOff>
    </xdr:from>
    <xdr:to>
      <xdr:col>8</xdr:col>
      <xdr:colOff>12701</xdr:colOff>
      <xdr:row>8</xdr:row>
      <xdr:rowOff>9770</xdr:rowOff>
    </xdr:to>
    <xdr:sp macro="" textlink="">
      <xdr:nvSpPr>
        <xdr:cNvPr id="2" name="TextBox 1">
          <a:extLst>
            <a:ext uri="{FF2B5EF4-FFF2-40B4-BE49-F238E27FC236}">
              <a16:creationId xmlns:a16="http://schemas.microsoft.com/office/drawing/2014/main" id="{3A260B6A-1299-4F7F-A68C-90102C8800B7}"/>
            </a:ext>
          </a:extLst>
        </xdr:cNvPr>
        <xdr:cNvSpPr txBox="1"/>
      </xdr:nvSpPr>
      <xdr:spPr>
        <a:xfrm>
          <a:off x="644010" y="1077817"/>
          <a:ext cx="4084787" cy="578068"/>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GB" sz="1400">
              <a:solidFill>
                <a:schemeClr val="bg1"/>
              </a:solidFill>
            </a:rPr>
            <a:t>Use the 'VLOOKUP'</a:t>
          </a:r>
          <a:r>
            <a:rPr lang="en-GB" sz="1400" baseline="0">
              <a:solidFill>
                <a:schemeClr val="bg1"/>
              </a:solidFill>
            </a:rPr>
            <a:t> to find specific data within a data table</a:t>
          </a:r>
          <a:endParaRPr lang="en-GB" sz="1400">
            <a:solidFill>
              <a:schemeClr val="bg1"/>
            </a:solidFill>
          </a:endParaRPr>
        </a:p>
      </xdr:txBody>
    </xdr:sp>
    <xdr:clientData/>
  </xdr:twoCellAnchor>
  <xdr:twoCellAnchor>
    <xdr:from>
      <xdr:col>2</xdr:col>
      <xdr:colOff>10618</xdr:colOff>
      <xdr:row>61</xdr:row>
      <xdr:rowOff>186003</xdr:rowOff>
    </xdr:from>
    <xdr:to>
      <xdr:col>5</xdr:col>
      <xdr:colOff>375701</xdr:colOff>
      <xdr:row>64</xdr:row>
      <xdr:rowOff>57798</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BBB7619B-6E38-446C-9D07-8E7602C9015E}"/>
            </a:ext>
          </a:extLst>
        </xdr:cNvPr>
        <xdr:cNvSpPr/>
      </xdr:nvSpPr>
      <xdr:spPr>
        <a:xfrm>
          <a:off x="648793" y="11755703"/>
          <a:ext cx="2279608" cy="433770"/>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Navigation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879230</xdr:colOff>
      <xdr:row>179</xdr:row>
      <xdr:rowOff>14654</xdr:rowOff>
    </xdr:from>
    <xdr:to>
      <xdr:col>5</xdr:col>
      <xdr:colOff>114154</xdr:colOff>
      <xdr:row>181</xdr:row>
      <xdr:rowOff>73774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405717B-BDDC-4907-98CF-FF1B34A04387}"/>
            </a:ext>
          </a:extLst>
        </xdr:cNvPr>
        <xdr:cNvSpPr/>
      </xdr:nvSpPr>
      <xdr:spPr>
        <a:xfrm>
          <a:off x="1487365" y="32700058"/>
          <a:ext cx="2407481" cy="440120"/>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Navigation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879230</xdr:colOff>
      <xdr:row>171</xdr:row>
      <xdr:rowOff>14654</xdr:rowOff>
    </xdr:from>
    <xdr:to>
      <xdr:col>5</xdr:col>
      <xdr:colOff>114154</xdr:colOff>
      <xdr:row>173</xdr:row>
      <xdr:rowOff>73774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0CFD7A2-3EF2-4057-9BA2-0B4C6374C5DE}"/>
            </a:ext>
          </a:extLst>
        </xdr:cNvPr>
        <xdr:cNvSpPr/>
      </xdr:nvSpPr>
      <xdr:spPr>
        <a:xfrm>
          <a:off x="1488830" y="31631304"/>
          <a:ext cx="2530574" cy="427420"/>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Navigation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20</xdr:col>
      <xdr:colOff>9525</xdr:colOff>
      <xdr:row>17</xdr:row>
      <xdr:rowOff>69695</xdr:rowOff>
    </xdr:from>
    <xdr:to>
      <xdr:col>23</xdr:col>
      <xdr:colOff>594800</xdr:colOff>
      <xdr:row>19</xdr:row>
      <xdr:rowOff>128815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C5BD17F8-E615-4F45-BBC0-C43088729439}"/>
            </a:ext>
          </a:extLst>
        </xdr:cNvPr>
        <xdr:cNvSpPr/>
      </xdr:nvSpPr>
      <xdr:spPr>
        <a:xfrm>
          <a:off x="15624752" y="2915650"/>
          <a:ext cx="2421003" cy="428574"/>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Navigation</a:t>
          </a:r>
        </a:p>
      </xdr:txBody>
    </xdr:sp>
    <xdr:clientData/>
  </xdr:twoCellAnchor>
  <xdr:twoCellAnchor>
    <xdr:from>
      <xdr:col>11</xdr:col>
      <xdr:colOff>593480</xdr:colOff>
      <xdr:row>32</xdr:row>
      <xdr:rowOff>14653</xdr:rowOff>
    </xdr:from>
    <xdr:to>
      <xdr:col>18</xdr:col>
      <xdr:colOff>468923</xdr:colOff>
      <xdr:row>48</xdr:row>
      <xdr:rowOff>17318</xdr:rowOff>
    </xdr:to>
    <xdr:sp macro="" textlink="">
      <xdr:nvSpPr>
        <xdr:cNvPr id="3" name="TextBox 2">
          <a:extLst>
            <a:ext uri="{FF2B5EF4-FFF2-40B4-BE49-F238E27FC236}">
              <a16:creationId xmlns:a16="http://schemas.microsoft.com/office/drawing/2014/main" id="{F1C3269F-3012-4C1F-BFE0-50944CBC4AA2}"/>
            </a:ext>
          </a:extLst>
        </xdr:cNvPr>
        <xdr:cNvSpPr txBox="1"/>
      </xdr:nvSpPr>
      <xdr:spPr>
        <a:xfrm>
          <a:off x="8242344" y="5648835"/>
          <a:ext cx="6161943" cy="2975619"/>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7030A0"/>
              </a:solidFill>
              <a:effectLst/>
              <a:latin typeface="+mn-lt"/>
              <a:ea typeface="+mn-ea"/>
              <a:cs typeface="+mn-cs"/>
            </a:rPr>
            <a:t>1: Fill in all the Totals.</a:t>
          </a:r>
          <a:endParaRPr lang="en-US" sz="1600">
            <a:solidFill>
              <a:srgbClr val="7030A0"/>
            </a:solidFill>
            <a:effectLst/>
          </a:endParaRPr>
        </a:p>
        <a:p>
          <a:r>
            <a:rPr lang="en-GB" sz="1200" baseline="0">
              <a:solidFill>
                <a:srgbClr val="FF0000"/>
              </a:solidFill>
              <a:effectLst/>
              <a:latin typeface="+mn-lt"/>
              <a:ea typeface="+mn-ea"/>
              <a:cs typeface="+mn-cs"/>
            </a:rPr>
            <a:t>2: Using an 'IF' funciton assign a "PASS" or "FAIL" to each player, under the </a:t>
          </a:r>
          <a:r>
            <a:rPr lang="en-GB" sz="1200" b="1" baseline="0">
              <a:solidFill>
                <a:srgbClr val="FF0000"/>
              </a:solidFill>
              <a:effectLst/>
              <a:latin typeface="+mn-lt"/>
              <a:ea typeface="+mn-ea"/>
              <a:cs typeface="+mn-cs"/>
            </a:rPr>
            <a:t>'Achieving standard' </a:t>
          </a:r>
          <a:r>
            <a:rPr lang="en-GB" sz="1200" b="0" baseline="0">
              <a:solidFill>
                <a:srgbClr val="FF0000"/>
              </a:solidFill>
              <a:effectLst/>
              <a:latin typeface="+mn-lt"/>
              <a:ea typeface="+mn-ea"/>
              <a:cs typeface="+mn-cs"/>
            </a:rPr>
            <a:t>section</a:t>
          </a:r>
          <a:r>
            <a:rPr lang="en-GB" sz="1200" b="1" baseline="0">
              <a:solidFill>
                <a:srgbClr val="FF0000"/>
              </a:solidFill>
              <a:effectLst/>
              <a:latin typeface="+mn-lt"/>
              <a:ea typeface="+mn-ea"/>
              <a:cs typeface="+mn-cs"/>
            </a:rPr>
            <a:t> </a:t>
          </a:r>
          <a:r>
            <a:rPr lang="en-GB" sz="1200" b="0" baseline="0">
              <a:solidFill>
                <a:srgbClr val="FF0000"/>
              </a:solidFill>
              <a:effectLst/>
              <a:latin typeface="+mn-lt"/>
              <a:ea typeface="+mn-ea"/>
              <a:cs typeface="+mn-cs"/>
            </a:rPr>
            <a:t>based</a:t>
          </a:r>
          <a:r>
            <a:rPr lang="en-GB" sz="1200" baseline="0">
              <a:solidFill>
                <a:srgbClr val="FF0000"/>
              </a:solidFill>
              <a:effectLst/>
              <a:latin typeface="+mn-lt"/>
              <a:ea typeface="+mn-ea"/>
              <a:cs typeface="+mn-cs"/>
            </a:rPr>
            <a:t> on the </a:t>
          </a:r>
          <a:r>
            <a:rPr lang="en-GB" sz="1200" b="1" baseline="0">
              <a:solidFill>
                <a:srgbClr val="FF0000"/>
              </a:solidFill>
              <a:effectLst/>
              <a:latin typeface="+mn-lt"/>
              <a:ea typeface="+mn-ea"/>
              <a:cs typeface="+mn-cs"/>
            </a:rPr>
            <a:t>'Average GOALS' section. </a:t>
          </a:r>
          <a:r>
            <a:rPr lang="en-GB" sz="1200" b="0" baseline="0">
              <a:solidFill>
                <a:srgbClr val="FF0000"/>
              </a:solidFill>
              <a:effectLst/>
              <a:latin typeface="+mn-lt"/>
              <a:ea typeface="+mn-ea"/>
              <a:cs typeface="+mn-cs"/>
            </a:rPr>
            <a:t>Apply condition formating so that if a cell says "Fail", a formatting of Red is applied, and a color of Green if it says "Pass".</a:t>
          </a:r>
          <a:endParaRPr lang="en-US" sz="1600">
            <a:solidFill>
              <a:srgbClr val="FF0000"/>
            </a:solidFill>
            <a:effectLst/>
          </a:endParaRPr>
        </a:p>
        <a:p>
          <a:r>
            <a:rPr lang="en-GB" sz="1200" b="0" baseline="0">
              <a:solidFill>
                <a:srgbClr val="00B0F0"/>
              </a:solidFill>
              <a:effectLst/>
              <a:latin typeface="+mn-lt"/>
              <a:ea typeface="+mn-ea"/>
              <a:cs typeface="+mn-cs"/>
            </a:rPr>
            <a:t>3: Format all data into a table of your choice but exclude the </a:t>
          </a:r>
          <a:r>
            <a:rPr lang="en-GB" sz="1200" b="1" baseline="0">
              <a:solidFill>
                <a:srgbClr val="00B0F0"/>
              </a:solidFill>
              <a:effectLst/>
              <a:latin typeface="+mn-lt"/>
              <a:ea typeface="+mn-ea"/>
              <a:cs typeface="+mn-cs"/>
            </a:rPr>
            <a:t>'Achieving standard' </a:t>
          </a:r>
          <a:r>
            <a:rPr lang="en-GB" sz="1200" b="0" baseline="0">
              <a:solidFill>
                <a:srgbClr val="00B0F0"/>
              </a:solidFill>
              <a:effectLst/>
              <a:latin typeface="+mn-lt"/>
              <a:ea typeface="+mn-ea"/>
              <a:cs typeface="+mn-cs"/>
            </a:rPr>
            <a:t>area.</a:t>
          </a:r>
          <a:endParaRPr lang="en-US" sz="1600">
            <a:solidFill>
              <a:srgbClr val="00B0F0"/>
            </a:solidFill>
            <a:effectLst/>
          </a:endParaRPr>
        </a:p>
        <a:p>
          <a:r>
            <a:rPr lang="en-GB" sz="1200" b="0" baseline="0">
              <a:solidFill>
                <a:srgbClr val="7030A0"/>
              </a:solidFill>
              <a:effectLst/>
              <a:latin typeface="+mn-lt"/>
              <a:ea typeface="+mn-ea"/>
              <a:cs typeface="+mn-cs"/>
            </a:rPr>
            <a:t>4. Use a Concatenate function to combine data: Persons name, PASS or FAIL (Under achieving standard section), and average goals for that individual. </a:t>
          </a:r>
          <a:endParaRPr lang="en-US" sz="1600">
            <a:solidFill>
              <a:srgbClr val="7030A0"/>
            </a:solidFill>
            <a:effectLst/>
          </a:endParaRPr>
        </a:p>
        <a:p>
          <a:r>
            <a:rPr lang="en-GB" sz="1200" b="0" baseline="0">
              <a:solidFill>
                <a:srgbClr val="00B050"/>
              </a:solidFill>
              <a:effectLst/>
              <a:latin typeface="+mn-lt"/>
              <a:ea typeface="+mn-ea"/>
              <a:cs typeface="+mn-cs"/>
            </a:rPr>
            <a:t>5. Create table like this example and insert a chart to show the performance of each player and their average goals achieved throughout the year. With the chart, apply formatting to give the chart an "edge" and shadow. Also, make the bars within the chart "3D". </a:t>
          </a:r>
        </a:p>
        <a:p>
          <a:endParaRPr lang="en-US" sz="1400">
            <a:solidFill>
              <a:srgbClr val="00B050"/>
            </a:solidFill>
            <a:effectLst/>
          </a:endParaRPr>
        </a:p>
        <a:p>
          <a:pPr algn="ctr"/>
          <a:r>
            <a:rPr lang="en-GB" sz="1400" b="1">
              <a:solidFill>
                <a:schemeClr val="dk1"/>
              </a:solidFill>
              <a:effectLst/>
              <a:latin typeface="+mn-lt"/>
              <a:ea typeface="+mn-ea"/>
              <a:cs typeface="+mn-cs"/>
            </a:rPr>
            <a:t>*FORMAT TO ANY COLOR AND</a:t>
          </a:r>
          <a:r>
            <a:rPr lang="en-GB" sz="1400" b="1" baseline="0">
              <a:solidFill>
                <a:schemeClr val="dk1"/>
              </a:solidFill>
              <a:effectLst/>
              <a:latin typeface="+mn-lt"/>
              <a:ea typeface="+mn-ea"/>
              <a:cs typeface="+mn-cs"/>
            </a:rPr>
            <a:t> TYPE YOU LIKE*</a:t>
          </a:r>
        </a:p>
        <a:p>
          <a:pPr algn="ctr"/>
          <a:endParaRPr lang="en-US" sz="1800" b="1">
            <a:effectLst/>
          </a:endParaRPr>
        </a:p>
        <a:p>
          <a:pPr algn="ctr"/>
          <a:r>
            <a:rPr lang="en-GB" sz="1400" b="1" baseline="0">
              <a:solidFill>
                <a:schemeClr val="dk1"/>
              </a:solidFill>
              <a:effectLst/>
              <a:latin typeface="+mn-lt"/>
              <a:ea typeface="+mn-ea"/>
              <a:cs typeface="+mn-cs"/>
            </a:rPr>
            <a:t>GOOD LUCK!</a:t>
          </a:r>
          <a:endParaRPr lang="en-US" sz="1800" b="1">
            <a:effectLst/>
          </a:endParaRPr>
        </a:p>
      </xdr:txBody>
    </xdr:sp>
    <xdr:clientData/>
  </xdr:twoCellAnchor>
  <xdr:twoCellAnchor>
    <xdr:from>
      <xdr:col>4</xdr:col>
      <xdr:colOff>197827</xdr:colOff>
      <xdr:row>28</xdr:row>
      <xdr:rowOff>14654</xdr:rowOff>
    </xdr:from>
    <xdr:to>
      <xdr:col>11</xdr:col>
      <xdr:colOff>630116</xdr:colOff>
      <xdr:row>34</xdr:row>
      <xdr:rowOff>14655</xdr:rowOff>
    </xdr:to>
    <xdr:cxnSp macro="">
      <xdr:nvCxnSpPr>
        <xdr:cNvPr id="5" name="Straight Connector 4">
          <a:extLst>
            <a:ext uri="{FF2B5EF4-FFF2-40B4-BE49-F238E27FC236}">
              <a16:creationId xmlns:a16="http://schemas.microsoft.com/office/drawing/2014/main" id="{4152F87B-948E-46E6-924C-58CB4D4381DD}"/>
            </a:ext>
          </a:extLst>
        </xdr:cNvPr>
        <xdr:cNvCxnSpPr/>
      </xdr:nvCxnSpPr>
      <xdr:spPr>
        <a:xfrm flipH="1" flipV="1">
          <a:off x="2351942" y="5033596"/>
          <a:ext cx="5590443" cy="1143001"/>
        </a:xfrm>
        <a:prstGeom prst="line">
          <a:avLst/>
        </a:prstGeom>
        <a:ln w="12700">
          <a:solidFill>
            <a:srgbClr val="FF0000"/>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131886</xdr:colOff>
      <xdr:row>14</xdr:row>
      <xdr:rowOff>73271</xdr:rowOff>
    </xdr:from>
    <xdr:to>
      <xdr:col>11</xdr:col>
      <xdr:colOff>653143</xdr:colOff>
      <xdr:row>36</xdr:row>
      <xdr:rowOff>48986</xdr:rowOff>
    </xdr:to>
    <xdr:cxnSp macro="">
      <xdr:nvCxnSpPr>
        <xdr:cNvPr id="7" name="Straight Connector 6">
          <a:extLst>
            <a:ext uri="{FF2B5EF4-FFF2-40B4-BE49-F238E27FC236}">
              <a16:creationId xmlns:a16="http://schemas.microsoft.com/office/drawing/2014/main" id="{EFC12587-4AF2-4C86-AA1F-939A0A7AD317}"/>
            </a:ext>
          </a:extLst>
        </xdr:cNvPr>
        <xdr:cNvCxnSpPr/>
      </xdr:nvCxnSpPr>
      <xdr:spPr>
        <a:xfrm flipH="1" flipV="1">
          <a:off x="6097257" y="2419142"/>
          <a:ext cx="1871086" cy="4177601"/>
        </a:xfrm>
        <a:prstGeom prst="line">
          <a:avLst/>
        </a:prstGeom>
        <a:ln w="12700">
          <a:solidFill>
            <a:srgbClr val="00B0F0"/>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7327</xdr:colOff>
      <xdr:row>19</xdr:row>
      <xdr:rowOff>95250</xdr:rowOff>
    </xdr:from>
    <xdr:to>
      <xdr:col>11</xdr:col>
      <xdr:colOff>729344</xdr:colOff>
      <xdr:row>32</xdr:row>
      <xdr:rowOff>76201</xdr:rowOff>
    </xdr:to>
    <xdr:cxnSp macro="">
      <xdr:nvCxnSpPr>
        <xdr:cNvPr id="12" name="Straight Connector 11">
          <a:extLst>
            <a:ext uri="{FF2B5EF4-FFF2-40B4-BE49-F238E27FC236}">
              <a16:creationId xmlns:a16="http://schemas.microsoft.com/office/drawing/2014/main" id="{8110D2AF-FBB0-47E3-9EE4-1E7C66B7A2E3}"/>
            </a:ext>
          </a:extLst>
        </xdr:cNvPr>
        <xdr:cNvCxnSpPr/>
      </xdr:nvCxnSpPr>
      <xdr:spPr>
        <a:xfrm flipH="1" flipV="1">
          <a:off x="1406769" y="3392365"/>
          <a:ext cx="6634844" cy="2464778"/>
        </a:xfrm>
        <a:prstGeom prst="line">
          <a:avLst/>
        </a:prstGeom>
        <a:ln w="12700">
          <a:solidFill>
            <a:srgbClr val="7030A0"/>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733425</xdr:colOff>
      <xdr:row>7</xdr:row>
      <xdr:rowOff>129886</xdr:rowOff>
    </xdr:from>
    <xdr:to>
      <xdr:col>16</xdr:col>
      <xdr:colOff>389659</xdr:colOff>
      <xdr:row>32</xdr:row>
      <xdr:rowOff>85725</xdr:rowOff>
    </xdr:to>
    <xdr:cxnSp macro="">
      <xdr:nvCxnSpPr>
        <xdr:cNvPr id="16" name="Straight Connector 15">
          <a:extLst>
            <a:ext uri="{FF2B5EF4-FFF2-40B4-BE49-F238E27FC236}">
              <a16:creationId xmlns:a16="http://schemas.microsoft.com/office/drawing/2014/main" id="{86A2F273-E9DE-4E4B-A9AC-B862F1980A18}"/>
            </a:ext>
          </a:extLst>
        </xdr:cNvPr>
        <xdr:cNvCxnSpPr/>
      </xdr:nvCxnSpPr>
      <xdr:spPr>
        <a:xfrm flipH="1">
          <a:off x="8058150" y="1139536"/>
          <a:ext cx="3456709" cy="4727864"/>
        </a:xfrm>
        <a:prstGeom prst="line">
          <a:avLst/>
        </a:prstGeom>
        <a:ln w="12700">
          <a:solidFill>
            <a:srgbClr val="7030A0"/>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734787</xdr:colOff>
      <xdr:row>7</xdr:row>
      <xdr:rowOff>117231</xdr:rowOff>
    </xdr:from>
    <xdr:to>
      <xdr:col>17</xdr:col>
      <xdr:colOff>271096</xdr:colOff>
      <xdr:row>32</xdr:row>
      <xdr:rowOff>87086</xdr:rowOff>
    </xdr:to>
    <xdr:cxnSp macro="">
      <xdr:nvCxnSpPr>
        <xdr:cNvPr id="17" name="Straight Connector 16">
          <a:extLst>
            <a:ext uri="{FF2B5EF4-FFF2-40B4-BE49-F238E27FC236}">
              <a16:creationId xmlns:a16="http://schemas.microsoft.com/office/drawing/2014/main" id="{DD6080E4-B168-47F2-A84B-3CFEFA7D56B0}"/>
            </a:ext>
          </a:extLst>
        </xdr:cNvPr>
        <xdr:cNvCxnSpPr/>
      </xdr:nvCxnSpPr>
      <xdr:spPr>
        <a:xfrm flipH="1">
          <a:off x="8047056" y="1128346"/>
          <a:ext cx="4438021" cy="4739682"/>
        </a:xfrm>
        <a:prstGeom prst="line">
          <a:avLst/>
        </a:prstGeom>
        <a:ln w="12700">
          <a:solidFill>
            <a:srgbClr val="7030A0"/>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26598</xdr:colOff>
      <xdr:row>20</xdr:row>
      <xdr:rowOff>148470</xdr:rowOff>
    </xdr:from>
    <xdr:to>
      <xdr:col>24</xdr:col>
      <xdr:colOff>1541</xdr:colOff>
      <xdr:row>23</xdr:row>
      <xdr:rowOff>5545</xdr:rowOff>
    </xdr:to>
    <xdr:sp macro="" textlink="">
      <xdr:nvSpPr>
        <xdr:cNvPr id="27" name="Rectangle: Rounded Corners 26">
          <a:hlinkClick xmlns:r="http://schemas.openxmlformats.org/officeDocument/2006/relationships" r:id="rId2"/>
          <a:extLst>
            <a:ext uri="{FF2B5EF4-FFF2-40B4-BE49-F238E27FC236}">
              <a16:creationId xmlns:a16="http://schemas.microsoft.com/office/drawing/2014/main" id="{7D5AB45C-C0C9-470B-B986-7638A48CAA86}"/>
            </a:ext>
          </a:extLst>
        </xdr:cNvPr>
        <xdr:cNvSpPr/>
      </xdr:nvSpPr>
      <xdr:spPr>
        <a:xfrm>
          <a:off x="15641825" y="3548606"/>
          <a:ext cx="2422580" cy="428575"/>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aseline="0"/>
            <a:t>Goals exercise</a:t>
          </a:r>
          <a:endParaRPr lang="en-GB" sz="2000"/>
        </a:p>
      </xdr:txBody>
    </xdr:sp>
    <xdr:clientData/>
  </xdr:twoCellAnchor>
  <xdr:twoCellAnchor>
    <xdr:from>
      <xdr:col>5</xdr:col>
      <xdr:colOff>293077</xdr:colOff>
      <xdr:row>38</xdr:row>
      <xdr:rowOff>108857</xdr:rowOff>
    </xdr:from>
    <xdr:to>
      <xdr:col>11</xdr:col>
      <xdr:colOff>642258</xdr:colOff>
      <xdr:row>42</xdr:row>
      <xdr:rowOff>7327</xdr:rowOff>
    </xdr:to>
    <xdr:cxnSp macro="">
      <xdr:nvCxnSpPr>
        <xdr:cNvPr id="13" name="Straight Connector 12">
          <a:extLst>
            <a:ext uri="{FF2B5EF4-FFF2-40B4-BE49-F238E27FC236}">
              <a16:creationId xmlns:a16="http://schemas.microsoft.com/office/drawing/2014/main" id="{C8947C64-311A-45AE-80C2-DA9E95E6753D}"/>
            </a:ext>
          </a:extLst>
        </xdr:cNvPr>
        <xdr:cNvCxnSpPr/>
      </xdr:nvCxnSpPr>
      <xdr:spPr>
        <a:xfrm flipH="1">
          <a:off x="3121269" y="7040126"/>
          <a:ext cx="4833258" cy="660470"/>
        </a:xfrm>
        <a:prstGeom prst="line">
          <a:avLst/>
        </a:prstGeom>
        <a:ln w="12700">
          <a:solidFill>
            <a:srgbClr val="A86ED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52</xdr:row>
      <xdr:rowOff>23812</xdr:rowOff>
    </xdr:from>
    <xdr:to>
      <xdr:col>11</xdr:col>
      <xdr:colOff>752475</xdr:colOff>
      <xdr:row>66</xdr:row>
      <xdr:rowOff>100012</xdr:rowOff>
    </xdr:to>
    <xdr:graphicFrame macro="">
      <xdr:nvGraphicFramePr>
        <xdr:cNvPr id="15" name="Chart 14">
          <a:extLst>
            <a:ext uri="{FF2B5EF4-FFF2-40B4-BE49-F238E27FC236}">
              <a16:creationId xmlns:a16="http://schemas.microsoft.com/office/drawing/2014/main" id="{747B20AE-74B8-403E-91D5-7D3534418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139212</xdr:colOff>
      <xdr:row>40</xdr:row>
      <xdr:rowOff>183173</xdr:rowOff>
    </xdr:from>
    <xdr:to>
      <xdr:col>11</xdr:col>
      <xdr:colOff>637443</xdr:colOff>
      <xdr:row>54</xdr:row>
      <xdr:rowOff>36635</xdr:rowOff>
    </xdr:to>
    <xdr:cxnSp macro="">
      <xdr:nvCxnSpPr>
        <xdr:cNvPr id="32" name="Straight Connector 31">
          <a:extLst>
            <a:ext uri="{FF2B5EF4-FFF2-40B4-BE49-F238E27FC236}">
              <a16:creationId xmlns:a16="http://schemas.microsoft.com/office/drawing/2014/main" id="{49550924-532C-4E6E-8A42-7F589F7C633E}"/>
            </a:ext>
          </a:extLst>
        </xdr:cNvPr>
        <xdr:cNvCxnSpPr/>
      </xdr:nvCxnSpPr>
      <xdr:spPr>
        <a:xfrm flipH="1">
          <a:off x="2293327" y="7495442"/>
          <a:ext cx="5656385" cy="2520462"/>
        </a:xfrm>
        <a:prstGeom prst="line">
          <a:avLst/>
        </a:prstGeom>
        <a:ln w="127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505560</xdr:colOff>
      <xdr:row>40</xdr:row>
      <xdr:rowOff>181282</xdr:rowOff>
    </xdr:from>
    <xdr:to>
      <xdr:col>11</xdr:col>
      <xdr:colOff>645242</xdr:colOff>
      <xdr:row>51</xdr:row>
      <xdr:rowOff>58616</xdr:rowOff>
    </xdr:to>
    <xdr:cxnSp macro="">
      <xdr:nvCxnSpPr>
        <xdr:cNvPr id="34" name="Straight Connector 33">
          <a:extLst>
            <a:ext uri="{FF2B5EF4-FFF2-40B4-BE49-F238E27FC236}">
              <a16:creationId xmlns:a16="http://schemas.microsoft.com/office/drawing/2014/main" id="{EB1E265E-64EB-4A7B-93B2-58075B9375E2}"/>
            </a:ext>
          </a:extLst>
        </xdr:cNvPr>
        <xdr:cNvCxnSpPr/>
      </xdr:nvCxnSpPr>
      <xdr:spPr>
        <a:xfrm flipH="1">
          <a:off x="5799616" y="7497097"/>
          <a:ext cx="2167586" cy="1972834"/>
        </a:xfrm>
        <a:prstGeom prst="line">
          <a:avLst/>
        </a:prstGeom>
        <a:ln w="127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25</xdr:col>
      <xdr:colOff>609061</xdr:colOff>
      <xdr:row>10</xdr:row>
      <xdr:rowOff>161462</xdr:rowOff>
    </xdr:from>
    <xdr:to>
      <xdr:col>29</xdr:col>
      <xdr:colOff>383273</xdr:colOff>
      <xdr:row>13</xdr:row>
      <xdr:rowOff>34618</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6058DBD3-E80E-49EC-9ADA-CCF5C76C4C31}"/>
            </a:ext>
          </a:extLst>
        </xdr:cNvPr>
        <xdr:cNvSpPr/>
      </xdr:nvSpPr>
      <xdr:spPr>
        <a:xfrm>
          <a:off x="17125052" y="1832830"/>
          <a:ext cx="2218363" cy="430279"/>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Navigation</a:t>
          </a:r>
        </a:p>
      </xdr:txBody>
    </xdr:sp>
    <xdr:clientData/>
  </xdr:twoCellAnchor>
  <xdr:twoCellAnchor>
    <xdr:from>
      <xdr:col>11</xdr:col>
      <xdr:colOff>558958</xdr:colOff>
      <xdr:row>42</xdr:row>
      <xdr:rowOff>27267</xdr:rowOff>
    </xdr:from>
    <xdr:to>
      <xdr:col>19</xdr:col>
      <xdr:colOff>518202</xdr:colOff>
      <xdr:row>59</xdr:row>
      <xdr:rowOff>79255</xdr:rowOff>
    </xdr:to>
    <xdr:sp macro="" textlink="">
      <xdr:nvSpPr>
        <xdr:cNvPr id="4" name="TextBox 3">
          <a:extLst>
            <a:ext uri="{FF2B5EF4-FFF2-40B4-BE49-F238E27FC236}">
              <a16:creationId xmlns:a16="http://schemas.microsoft.com/office/drawing/2014/main" id="{8DE68EAF-6F9E-4A08-8051-602FC87EE92D}"/>
            </a:ext>
          </a:extLst>
        </xdr:cNvPr>
        <xdr:cNvSpPr txBox="1"/>
      </xdr:nvSpPr>
      <xdr:spPr>
        <a:xfrm>
          <a:off x="8124529" y="7620053"/>
          <a:ext cx="7252673" cy="3136273"/>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7030A0"/>
              </a:solidFill>
              <a:effectLst/>
              <a:latin typeface="+mn-lt"/>
              <a:ea typeface="+mn-ea"/>
              <a:cs typeface="+mn-cs"/>
            </a:rPr>
            <a:t>1: Fill in all the Totals.</a:t>
          </a:r>
          <a:endParaRPr lang="en-US" sz="1600">
            <a:solidFill>
              <a:srgbClr val="7030A0"/>
            </a:solidFill>
            <a:effectLst/>
          </a:endParaRPr>
        </a:p>
        <a:p>
          <a:r>
            <a:rPr lang="en-GB" sz="1200" baseline="0">
              <a:solidFill>
                <a:schemeClr val="accent2">
                  <a:lumMod val="75000"/>
                </a:schemeClr>
              </a:solidFill>
              <a:effectLst/>
              <a:latin typeface="+mn-lt"/>
              <a:ea typeface="+mn-ea"/>
              <a:cs typeface="+mn-cs"/>
            </a:rPr>
            <a:t>2: Using an 'IF' funciton assign a "PASS" or "FAIL" to each player, under the </a:t>
          </a:r>
          <a:r>
            <a:rPr lang="en-GB" sz="1200" b="1" baseline="0">
              <a:solidFill>
                <a:schemeClr val="accent2">
                  <a:lumMod val="75000"/>
                </a:schemeClr>
              </a:solidFill>
              <a:effectLst/>
              <a:latin typeface="+mn-lt"/>
              <a:ea typeface="+mn-ea"/>
              <a:cs typeface="+mn-cs"/>
            </a:rPr>
            <a:t>'Achieving standard' </a:t>
          </a:r>
          <a:r>
            <a:rPr lang="en-GB" sz="1200" b="0" baseline="0">
              <a:solidFill>
                <a:schemeClr val="accent2">
                  <a:lumMod val="75000"/>
                </a:schemeClr>
              </a:solidFill>
              <a:effectLst/>
              <a:latin typeface="+mn-lt"/>
              <a:ea typeface="+mn-ea"/>
              <a:cs typeface="+mn-cs"/>
            </a:rPr>
            <a:t>section</a:t>
          </a:r>
          <a:r>
            <a:rPr lang="en-GB" sz="1200" b="1" baseline="0">
              <a:solidFill>
                <a:schemeClr val="accent2">
                  <a:lumMod val="75000"/>
                </a:schemeClr>
              </a:solidFill>
              <a:effectLst/>
              <a:latin typeface="+mn-lt"/>
              <a:ea typeface="+mn-ea"/>
              <a:cs typeface="+mn-cs"/>
            </a:rPr>
            <a:t> </a:t>
          </a:r>
          <a:r>
            <a:rPr lang="en-GB" sz="1200" b="0" baseline="0">
              <a:solidFill>
                <a:schemeClr val="accent2">
                  <a:lumMod val="75000"/>
                </a:schemeClr>
              </a:solidFill>
              <a:effectLst/>
              <a:latin typeface="+mn-lt"/>
              <a:ea typeface="+mn-ea"/>
              <a:cs typeface="+mn-cs"/>
            </a:rPr>
            <a:t>based</a:t>
          </a:r>
          <a:r>
            <a:rPr lang="en-GB" sz="1200" baseline="0">
              <a:solidFill>
                <a:schemeClr val="accent2">
                  <a:lumMod val="75000"/>
                </a:schemeClr>
              </a:solidFill>
              <a:effectLst/>
              <a:latin typeface="+mn-lt"/>
              <a:ea typeface="+mn-ea"/>
              <a:cs typeface="+mn-cs"/>
            </a:rPr>
            <a:t> on the </a:t>
          </a:r>
          <a:r>
            <a:rPr lang="en-GB" sz="1200" b="1" baseline="0">
              <a:solidFill>
                <a:schemeClr val="accent2">
                  <a:lumMod val="75000"/>
                </a:schemeClr>
              </a:solidFill>
              <a:effectLst/>
              <a:latin typeface="+mn-lt"/>
              <a:ea typeface="+mn-ea"/>
              <a:cs typeface="+mn-cs"/>
            </a:rPr>
            <a:t>'Average GOALS' section. </a:t>
          </a:r>
          <a:r>
            <a:rPr lang="en-GB" sz="1200" b="0" baseline="0">
              <a:solidFill>
                <a:schemeClr val="accent2">
                  <a:lumMod val="75000"/>
                </a:schemeClr>
              </a:solidFill>
              <a:effectLst/>
              <a:latin typeface="+mn-lt"/>
              <a:ea typeface="+mn-ea"/>
              <a:cs typeface="+mn-cs"/>
            </a:rPr>
            <a:t>Apply condition formating so that if a cell says "Fail", a formatting of Red is applied, and a color of Green if it says "Pass".</a:t>
          </a:r>
          <a:endParaRPr lang="en-US" sz="1600">
            <a:solidFill>
              <a:schemeClr val="accent2">
                <a:lumMod val="75000"/>
              </a:schemeClr>
            </a:solidFill>
            <a:effectLst/>
          </a:endParaRPr>
        </a:p>
        <a:p>
          <a:r>
            <a:rPr lang="en-GB" sz="1200" b="0" baseline="0">
              <a:solidFill>
                <a:srgbClr val="0070C0"/>
              </a:solidFill>
              <a:effectLst/>
              <a:latin typeface="+mn-lt"/>
              <a:ea typeface="+mn-ea"/>
              <a:cs typeface="+mn-cs"/>
            </a:rPr>
            <a:t>3: Format all data into a table of your choice but exclude the </a:t>
          </a:r>
          <a:r>
            <a:rPr lang="en-GB" sz="1200" b="1" baseline="0">
              <a:solidFill>
                <a:srgbClr val="0070C0"/>
              </a:solidFill>
              <a:effectLst/>
              <a:latin typeface="+mn-lt"/>
              <a:ea typeface="+mn-ea"/>
              <a:cs typeface="+mn-cs"/>
            </a:rPr>
            <a:t>'Achieving standard' </a:t>
          </a:r>
          <a:r>
            <a:rPr lang="en-GB" sz="1200" b="0" baseline="0">
              <a:solidFill>
                <a:srgbClr val="0070C0"/>
              </a:solidFill>
              <a:effectLst/>
              <a:latin typeface="+mn-lt"/>
              <a:ea typeface="+mn-ea"/>
              <a:cs typeface="+mn-cs"/>
            </a:rPr>
            <a:t>area.</a:t>
          </a:r>
          <a:endParaRPr lang="en-US" sz="1600">
            <a:solidFill>
              <a:srgbClr val="0070C0"/>
            </a:solidFill>
            <a:effectLst/>
          </a:endParaRPr>
        </a:p>
        <a:p>
          <a:r>
            <a:rPr lang="en-GB" sz="1200" b="0" baseline="0">
              <a:solidFill>
                <a:srgbClr val="00B050"/>
              </a:solidFill>
              <a:effectLst/>
              <a:latin typeface="+mn-lt"/>
              <a:ea typeface="+mn-ea"/>
              <a:cs typeface="+mn-cs"/>
            </a:rPr>
            <a:t>4. Use a Concatenate function to combine data: Persons name, PASS or FAIL (Under achieving standard section), and average goals for that individual. </a:t>
          </a:r>
          <a:endParaRPr lang="en-US" sz="1600">
            <a:solidFill>
              <a:srgbClr val="00B050"/>
            </a:solidFill>
            <a:effectLst/>
          </a:endParaRPr>
        </a:p>
        <a:p>
          <a:r>
            <a:rPr lang="en-GB" sz="1200" b="0" baseline="0">
              <a:solidFill>
                <a:srgbClr val="FF33CC"/>
              </a:solidFill>
              <a:effectLst/>
              <a:latin typeface="+mn-lt"/>
              <a:ea typeface="+mn-ea"/>
              <a:cs typeface="+mn-cs"/>
            </a:rPr>
            <a:t>5. Create table like this example and insert a chart to show the performance of each player and their average goals achieved throughout the year. With the chart, apply formatting to give the chart an "edge" and shadow. Also, make the bars within the chart "3D". </a:t>
          </a:r>
        </a:p>
        <a:p>
          <a:endParaRPr lang="en-US" sz="1400">
            <a:effectLst/>
          </a:endParaRPr>
        </a:p>
        <a:p>
          <a:pPr algn="ctr"/>
          <a:r>
            <a:rPr lang="en-GB" sz="1200" b="1">
              <a:solidFill>
                <a:schemeClr val="dk1"/>
              </a:solidFill>
              <a:effectLst/>
              <a:latin typeface="+mn-lt"/>
              <a:ea typeface="+mn-ea"/>
              <a:cs typeface="+mn-cs"/>
            </a:rPr>
            <a:t>*FORMAT TO ANY COLOR AND</a:t>
          </a:r>
          <a:r>
            <a:rPr lang="en-GB" sz="1200" b="1" baseline="0">
              <a:solidFill>
                <a:schemeClr val="dk1"/>
              </a:solidFill>
              <a:effectLst/>
              <a:latin typeface="+mn-lt"/>
              <a:ea typeface="+mn-ea"/>
              <a:cs typeface="+mn-cs"/>
            </a:rPr>
            <a:t> TYPE YOU LIKE*</a:t>
          </a:r>
        </a:p>
        <a:p>
          <a:pPr algn="ctr"/>
          <a:endParaRPr lang="en-US" sz="1600">
            <a:effectLst/>
          </a:endParaRPr>
        </a:p>
        <a:p>
          <a:pPr algn="ctr"/>
          <a:r>
            <a:rPr lang="en-GB" sz="1200" b="1" baseline="0">
              <a:solidFill>
                <a:schemeClr val="dk1"/>
              </a:solidFill>
              <a:effectLst/>
              <a:latin typeface="+mn-lt"/>
              <a:ea typeface="+mn-ea"/>
              <a:cs typeface="+mn-cs"/>
            </a:rPr>
            <a:t>GOOD LUCK!</a:t>
          </a:r>
          <a:endParaRPr lang="en-US" sz="1600">
            <a:effectLst/>
          </a:endParaRPr>
        </a:p>
      </xdr:txBody>
    </xdr:sp>
    <xdr:clientData/>
  </xdr:twoCellAnchor>
  <xdr:twoCellAnchor>
    <xdr:from>
      <xdr:col>25</xdr:col>
      <xdr:colOff>599824</xdr:colOff>
      <xdr:row>7</xdr:row>
      <xdr:rowOff>147821</xdr:rowOff>
    </xdr:from>
    <xdr:to>
      <xdr:col>29</xdr:col>
      <xdr:colOff>374036</xdr:colOff>
      <xdr:row>10</xdr:row>
      <xdr:rowOff>21233</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3EC3EBE9-45FB-4272-AC09-B800218B8B63}"/>
            </a:ext>
          </a:extLst>
        </xdr:cNvPr>
        <xdr:cNvSpPr/>
      </xdr:nvSpPr>
      <xdr:spPr>
        <a:xfrm>
          <a:off x="17115815" y="1262066"/>
          <a:ext cx="2218363" cy="430535"/>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Goals</a:t>
          </a:r>
          <a:r>
            <a:rPr lang="en-GB" sz="2000" baseline="0"/>
            <a:t> example</a:t>
          </a:r>
          <a:endParaRPr lang="en-GB" sz="2000"/>
        </a:p>
      </xdr:txBody>
    </xdr:sp>
    <xdr:clientData/>
  </xdr:twoCellAnchor>
  <xdr:twoCellAnchor>
    <xdr:from>
      <xdr:col>12</xdr:col>
      <xdr:colOff>91283</xdr:colOff>
      <xdr:row>22</xdr:row>
      <xdr:rowOff>129631</xdr:rowOff>
    </xdr:from>
    <xdr:to>
      <xdr:col>17</xdr:col>
      <xdr:colOff>95877</xdr:colOff>
      <xdr:row>37</xdr:row>
      <xdr:rowOff>117684</xdr:rowOff>
    </xdr:to>
    <xdr:graphicFrame macro="">
      <xdr:nvGraphicFramePr>
        <xdr:cNvPr id="2" name="Chart 1">
          <a:extLst>
            <a:ext uri="{FF2B5EF4-FFF2-40B4-BE49-F238E27FC236}">
              <a16:creationId xmlns:a16="http://schemas.microsoft.com/office/drawing/2014/main" id="{77A0391C-F15A-BAE5-78F6-411382A8B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604837</xdr:colOff>
      <xdr:row>76</xdr:row>
      <xdr:rowOff>43718</xdr:rowOff>
    </xdr:from>
    <xdr:to>
      <xdr:col>5</xdr:col>
      <xdr:colOff>705925</xdr:colOff>
      <xdr:row>78</xdr:row>
      <xdr:rowOff>102838</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010B09E-E0CC-457B-A84C-FE58D859B958}"/>
            </a:ext>
          </a:extLst>
        </xdr:cNvPr>
        <xdr:cNvSpPr/>
      </xdr:nvSpPr>
      <xdr:spPr>
        <a:xfrm>
          <a:off x="1214437" y="13991493"/>
          <a:ext cx="2425188" cy="433770"/>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Navigation</a:t>
          </a:r>
        </a:p>
      </xdr:txBody>
    </xdr:sp>
    <xdr:clientData/>
  </xdr:twoCellAnchor>
  <xdr:twoCellAnchor>
    <xdr:from>
      <xdr:col>2</xdr:col>
      <xdr:colOff>595933</xdr:colOff>
      <xdr:row>79</xdr:row>
      <xdr:rowOff>31573</xdr:rowOff>
    </xdr:from>
    <xdr:to>
      <xdr:col>5</xdr:col>
      <xdr:colOff>697876</xdr:colOff>
      <xdr:row>81</xdr:row>
      <xdr:rowOff>90693</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1A0731DC-9793-4988-98B8-C7368BD946C9}"/>
            </a:ext>
          </a:extLst>
        </xdr:cNvPr>
        <xdr:cNvSpPr/>
      </xdr:nvSpPr>
      <xdr:spPr>
        <a:xfrm>
          <a:off x="1205533" y="14541323"/>
          <a:ext cx="2426043" cy="433770"/>
        </a:xfrm>
        <a:prstGeom prst="roundRect">
          <a:avLst/>
        </a:prstGeom>
        <a:solidFill>
          <a:srgbClr val="33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aseline="0"/>
            <a:t>Goals exercise</a:t>
          </a:r>
          <a:endParaRPr lang="en-GB" sz="2000"/>
        </a:p>
      </xdr:txBody>
    </xdr:sp>
    <xdr:clientData/>
  </xdr:twoCellAnchor>
  <xdr:twoCellAnchor>
    <xdr:from>
      <xdr:col>12</xdr:col>
      <xdr:colOff>369043</xdr:colOff>
      <xdr:row>23</xdr:row>
      <xdr:rowOff>158646</xdr:rowOff>
    </xdr:from>
    <xdr:to>
      <xdr:col>17</xdr:col>
      <xdr:colOff>801544</xdr:colOff>
      <xdr:row>38</xdr:row>
      <xdr:rowOff>31976</xdr:rowOff>
    </xdr:to>
    <xdr:graphicFrame macro="">
      <xdr:nvGraphicFramePr>
        <xdr:cNvPr id="4" name="Chart 3">
          <a:extLst>
            <a:ext uri="{FF2B5EF4-FFF2-40B4-BE49-F238E27FC236}">
              <a16:creationId xmlns:a16="http://schemas.microsoft.com/office/drawing/2014/main" id="{83129B48-FDCE-4654-90E0-E70ADE069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unctionality"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rig-9\Desktop\Main-Workbook%202021%20for%20less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ctionalit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igation"/>
      <sheetName val="References"/>
      <sheetName val="Formulas + More!"/>
      <sheetName val="IF Function"/>
      <sheetName val="December"/>
      <sheetName val="Monthly Income"/>
      <sheetName val="IfAndOr"/>
      <sheetName val="Concatenate"/>
      <sheetName val="Nav Pane"/>
      <sheetName val="Yearly gross"/>
      <sheetName val="Vlookup"/>
      <sheetName val="Goals Example"/>
      <sheetName val="Goals exercise"/>
      <sheetName val="Goals printing"/>
      <sheetName val="Subtotalling"/>
      <sheetName val="Backup"/>
      <sheetName val="Backup 2"/>
    </sheetNames>
    <sheetDataSet>
      <sheetData sheetId="0"/>
      <sheetData sheetId="1"/>
      <sheetData sheetId="2"/>
      <sheetData sheetId="3"/>
      <sheetData sheetId="4"/>
      <sheetData sheetId="5"/>
      <sheetData sheetId="6"/>
      <sheetData sheetId="7"/>
      <sheetData sheetId="8"/>
      <sheetData sheetId="9"/>
      <sheetData sheetId="10"/>
      <sheetData sheetId="11">
        <row r="53">
          <cell r="D53" t="str">
            <v>Average goals</v>
          </cell>
        </row>
        <row r="54">
          <cell r="C54" t="str">
            <v>Mike</v>
          </cell>
          <cell r="D54">
            <v>2.75</v>
          </cell>
        </row>
        <row r="55">
          <cell r="C55" t="str">
            <v>Steve</v>
          </cell>
          <cell r="D55">
            <v>6.083333333333333</v>
          </cell>
        </row>
        <row r="56">
          <cell r="C56" t="str">
            <v>Linda</v>
          </cell>
          <cell r="D56">
            <v>5.583333333333333</v>
          </cell>
        </row>
        <row r="57">
          <cell r="C57" t="str">
            <v>Angela</v>
          </cell>
          <cell r="D57">
            <v>5.583333333333333</v>
          </cell>
        </row>
        <row r="58">
          <cell r="C58" t="str">
            <v>Peter</v>
          </cell>
          <cell r="D58">
            <v>5.833333333333333</v>
          </cell>
        </row>
        <row r="59">
          <cell r="C59" t="str">
            <v>Vikus</v>
          </cell>
          <cell r="D59">
            <v>4.75</v>
          </cell>
        </row>
        <row r="60">
          <cell r="C60" t="str">
            <v>Warrick</v>
          </cell>
          <cell r="D60">
            <v>4.25</v>
          </cell>
        </row>
        <row r="61">
          <cell r="C61" t="str">
            <v>Richard</v>
          </cell>
          <cell r="D61">
            <v>2.5833333333333335</v>
          </cell>
        </row>
        <row r="62">
          <cell r="C62" t="str">
            <v>Rachael</v>
          </cell>
          <cell r="D62">
            <v>4.083333333333333</v>
          </cell>
        </row>
        <row r="63">
          <cell r="C63" t="str">
            <v>Meline</v>
          </cell>
          <cell r="D63">
            <v>2.0833333333333335</v>
          </cell>
        </row>
      </sheetData>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CD0D10-5431-4DBC-AC27-3E36A7632234}" name="Table11" displayName="Table11" ref="D6:H19" totalsRowShown="0" headerRowDxfId="133" dataDxfId="132">
  <autoFilter ref="D6:H19" xr:uid="{23CD0D10-5431-4DBC-AC27-3E36A7632234}"/>
  <tableColumns count="5">
    <tableColumn id="1" xr3:uid="{058ABACB-5350-4317-92B5-27530BC0E0E0}" name="Column1" dataDxfId="131"/>
    <tableColumn id="2" xr3:uid="{C4E45011-A989-41AA-83CC-097989043B5E}" name="Income  " dataDxfId="130"/>
    <tableColumn id="3" xr3:uid="{638DBDEA-BA10-49D9-A23D-5BE74A7D98BF}" name="Tax (20%)" dataDxfId="129"/>
    <tableColumn id="4" xr3:uid="{37B70128-D7ED-4801-8461-2052EEFEE378}" name="Bills" dataDxfId="128"/>
    <tableColumn id="5" xr3:uid="{15636740-7EEA-454C-9C6F-157C3D3EDFA7}" name="Monthly Income" dataDxfId="127"/>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E01E67-191A-43ED-8788-4568800F6F6E}" name="Table6" displayName="Table6" ref="D28:E41" headerRowCount="0" totalsRowShown="0" headerRowDxfId="126" dataDxfId="125">
  <tableColumns count="2">
    <tableColumn id="1" xr3:uid="{24A62448-CC01-4A27-8EEA-558E8E4D0B1F}" name="Column1" headerRowDxfId="124" dataDxfId="123"/>
    <tableColumn id="2" xr3:uid="{003FB881-7D55-48FA-A792-1F72D596E506}" name="Column2" headerRowDxfId="122" dataDxfId="121"/>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4121FCA-62D0-4E39-9565-5E14DBB54DF9}" name="Table14" displayName="Table14" ref="C7:R21" totalsRowShown="0" headerRowDxfId="120">
  <autoFilter ref="C7:R21" xr:uid="{871DF27C-4526-490D-9E4B-0CE4A1CF68A8}"/>
  <tableColumns count="16">
    <tableColumn id="1" xr3:uid="{E9359622-05CF-4F5B-9EEF-20E9557F759D}" name="Names" dataDxfId="119"/>
    <tableColumn id="2" xr3:uid="{C4F22610-AB1F-4315-A6AA-EE1DB441C98B}" name="January"/>
    <tableColumn id="3" xr3:uid="{0FFB1A75-0F80-45FC-AAAE-8B3FFC954115}" name="February"/>
    <tableColumn id="4" xr3:uid="{C1297945-3D3E-4A22-B241-634EA72802A5}" name="March"/>
    <tableColumn id="5" xr3:uid="{976D9580-D046-4E29-9501-99DD7E52A811}" name="April"/>
    <tableColumn id="6" xr3:uid="{07498C86-2A42-48F2-A429-75D0530DF5CC}" name="May"/>
    <tableColumn id="7" xr3:uid="{DCBDEC5A-A642-4BFA-97FF-FE4D7990D4F1}" name="June"/>
    <tableColumn id="8" xr3:uid="{6959CCBB-0E4A-42F8-8B91-D11B01EEDBA7}" name="July"/>
    <tableColumn id="9" xr3:uid="{11ABDBAE-BF32-43AC-B6B5-09F258D7E42A}" name="August"/>
    <tableColumn id="10" xr3:uid="{18B4C671-5454-48A2-9AE8-918A47A198B9}" name="September"/>
    <tableColumn id="11" xr3:uid="{0725A330-82AE-401C-8B06-E87EC18EEA46}" name="October"/>
    <tableColumn id="12" xr3:uid="{92F2FD62-04E0-416B-82E7-312EDC3B4662}" name="November"/>
    <tableColumn id="13" xr3:uid="{6A57BC5E-2695-47C8-B59D-248EA55B574E}" name="December"/>
    <tableColumn id="14" xr3:uid="{81801DCD-25C5-4972-B099-F767032F4A58}" name=" "/>
    <tableColumn id="15" xr3:uid="{34BBE217-672C-4037-BAD5-AC28B3493130}" name="Goals per player" dataDxfId="118"/>
    <tableColumn id="16" xr3:uid="{A803209C-EF0B-4EE1-BF9C-FC62033B9977}" name="Average GOALS " dataDxfId="117"/>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292289-9496-4091-886D-904C05895048}" name="Table2" displayName="Table2" ref="C53:D63" totalsRowShown="0" headerRowDxfId="116">
  <autoFilter ref="C53:D63" xr:uid="{3E087AA4-EE01-4941-80C4-484D97EA1A51}"/>
  <tableColumns count="2">
    <tableColumn id="1" xr3:uid="{2F0C2451-4B46-4353-8B4D-70768CB3704A}" name="Column1" dataDxfId="115"/>
    <tableColumn id="2" xr3:uid="{A626A1CF-28E9-4E92-B03E-3AA50B1BF59A}" name="Average goals" dataDxfId="114">
      <calculatedColumnFormula>R8</calculatedColumnFormula>
    </tableColumn>
  </tableColumns>
  <tableStyleInfo name="TableStyleDark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4108B22-211F-46F3-B876-3AA4E95E42F0}" name="Table9" displayName="Table9" ref="J24:K34" totalsRowShown="0" headerRowDxfId="113">
  <autoFilter ref="J24:K34" xr:uid="{D4108B22-211F-46F3-B876-3AA4E95E42F0}"/>
  <tableColumns count="2">
    <tableColumn id="1" xr3:uid="{1A56F60D-AAFA-4BF5-8ACE-FEBD6995BE57}" name="Name" dataDxfId="112">
      <calculatedColumnFormula>C26</calculatedColumnFormula>
    </tableColumn>
    <tableColumn id="2" xr3:uid="{D33EBAC2-2D9D-4D51-8995-702B6889F6B0}" name="Average goals">
      <calculatedColumnFormula>ROUND(R8,2)</calculatedColumnFormula>
    </tableColumn>
  </tableColumns>
  <tableStyleInfo name="TableStyleDark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B16FB93-4DA3-4134-A681-6571E73400FF}" name="Table12" displayName="Table12" ref="C7:R21" totalsRowShown="0" headerRowDxfId="111" dataDxfId="110">
  <autoFilter ref="C7:R21" xr:uid="{5B16FB93-4DA3-4134-A681-6571E73400FF}"/>
  <tableColumns count="16">
    <tableColumn id="1" xr3:uid="{5ADCB1B8-8F92-407B-A76F-680CE9B7FD10}" name="Names" dataDxfId="109"/>
    <tableColumn id="2" xr3:uid="{07A2C965-F1CA-411F-A56C-F9F6AF2E68B7}" name="January" dataDxfId="108"/>
    <tableColumn id="3" xr3:uid="{758E360F-1005-4CB1-BA66-8DF2E212A56B}" name="February" dataDxfId="107"/>
    <tableColumn id="4" xr3:uid="{BFC289CF-C2D3-480C-B2A9-3DEAEF6F16C4}" name="March" dataDxfId="106"/>
    <tableColumn id="5" xr3:uid="{8AC4422C-7A52-4174-8357-A5205A1E3F9B}" name="April" dataDxfId="105"/>
    <tableColumn id="6" xr3:uid="{4E9FEC43-E23E-4FE4-8B3B-E4D761064C90}" name="May" dataDxfId="104"/>
    <tableColumn id="7" xr3:uid="{95DAD4BE-FD70-4167-B53A-C81F48769A22}" name="June" dataDxfId="103"/>
    <tableColumn id="8" xr3:uid="{62267519-1F1F-45F0-AF89-892556C7F770}" name="July" dataDxfId="102"/>
    <tableColumn id="9" xr3:uid="{F5F01394-5B1A-4ACB-9211-1C4B10CEB65E}" name="August" dataDxfId="101"/>
    <tableColumn id="10" xr3:uid="{A7A3DDAC-0487-4F7D-8A00-B45706997273}" name="September" dataDxfId="100"/>
    <tableColumn id="11" xr3:uid="{F65DA06F-51D5-4EBC-B5F0-1F33E7FFCA30}" name="October" dataDxfId="99"/>
    <tableColumn id="12" xr3:uid="{FFA9AF52-E9A5-4DD8-B8DF-30A80B227504}" name="November" dataDxfId="98"/>
    <tableColumn id="13" xr3:uid="{A7D40CFC-E1C9-4914-9DD1-27DC98F566E0}" name="December" dataDxfId="97"/>
    <tableColumn id="14" xr3:uid="{38AB332E-D0B8-421A-8C0F-1EEB63304BD8}" name="Column1" dataDxfId="96"/>
    <tableColumn id="15" xr3:uid="{3350A62B-36A2-4E58-8898-DC5A155DE04E}" name="Goals per player:" dataDxfId="95"/>
    <tableColumn id="16" xr3:uid="{3D681474-FB59-4A60-9933-754A4CBDB733}" name="Average GOALS " dataDxfId="9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5EFC5D-BD61-479B-9633-28AAF6926B26}" name="Table145" displayName="Table145" ref="C7:R21" totalsRowShown="0" headerRowDxfId="93">
  <autoFilter ref="C7:R21" xr:uid="{F4CD9FAE-FE20-43B9-8D06-32957850A109}"/>
  <tableColumns count="16">
    <tableColumn id="1" xr3:uid="{A838D52D-60D8-4B5B-B126-3D3249A3ECC4}" name="Names" dataDxfId="92"/>
    <tableColumn id="2" xr3:uid="{288BAAB7-6C4F-438D-9CD3-D197858D79DE}" name="January"/>
    <tableColumn id="3" xr3:uid="{D54E4549-A12F-4BF5-A75E-448BB6518B3B}" name="February"/>
    <tableColumn id="4" xr3:uid="{D9B74408-D02B-49C7-837C-808E4BC9E8FB}" name="March"/>
    <tableColumn id="5" xr3:uid="{CF7F1623-9435-47B2-99D6-FDE25535E795}" name="April"/>
    <tableColumn id="6" xr3:uid="{8BF4BE49-B6F5-43FB-B500-2756B7B310D0}" name="May"/>
    <tableColumn id="7" xr3:uid="{864D4B7F-9D36-4779-8302-5315B1D26A4B}" name="June"/>
    <tableColumn id="8" xr3:uid="{1CB84CA0-AB11-4D1A-965C-99093DB43145}" name="July"/>
    <tableColumn id="9" xr3:uid="{FA0BD9BA-28B9-4F38-911B-7F5B833C170B}" name="August"/>
    <tableColumn id="10" xr3:uid="{90C9D4E6-FD25-45D6-B346-1F422D48E743}" name="September"/>
    <tableColumn id="11" xr3:uid="{F68AE3E6-4D2A-4596-9A1D-49BAC1522788}" name="October"/>
    <tableColumn id="12" xr3:uid="{13942309-92FE-4D2F-9296-E711F4CD611D}" name="November"/>
    <tableColumn id="13" xr3:uid="{7E80EAE8-8E7E-4738-989C-258057350581}" name="December"/>
    <tableColumn id="14" xr3:uid="{AF648CEC-D9AB-4190-8721-680D8AFABEE7}" name=" "/>
    <tableColumn id="15" xr3:uid="{1CB940BD-5973-43A2-B0F3-7BA7CC7763EB}" name="Goals per player" dataDxfId="91"/>
    <tableColumn id="16" xr3:uid="{8584424D-C44B-49BD-936A-679C4BBBDAB6}" name="Average GOALS " dataDxfId="90"/>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5C00D0-2624-4E0E-B1E2-D3C69A26F653}" name="Table26" displayName="Table26" ref="J25:K35" totalsRowShown="0" headerRowDxfId="89">
  <autoFilter ref="J25:K35" xr:uid="{03FE332D-499B-4B89-A5B5-BC44E6E7F11A}"/>
  <tableColumns count="2">
    <tableColumn id="1" xr3:uid="{21C2ED73-F2CA-402C-86D0-1EAFE4C9B8D9}" name="Column1" dataDxfId="88"/>
    <tableColumn id="2" xr3:uid="{5DE0681F-1418-4CAC-8BA4-529547806CB4}" name="Average goals" dataDxfId="87">
      <calculatedColumnFormula>R8</calculatedColumnFormula>
    </tableColumn>
  </tableColumns>
  <tableStyleInfo name="TableStyleDark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5.xml"/><Relationship Id="rId1" Type="http://schemas.openxmlformats.org/officeDocument/2006/relationships/printerSettings" Target="../printerSettings/printerSettings10.bin"/><Relationship Id="rId4" Type="http://schemas.openxmlformats.org/officeDocument/2006/relationships/table" Target="../tables/table4.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6.xml"/><Relationship Id="rId1" Type="http://schemas.openxmlformats.org/officeDocument/2006/relationships/printerSettings" Target="../printerSettings/printerSettings11.bin"/><Relationship Id="rId4" Type="http://schemas.openxmlformats.org/officeDocument/2006/relationships/table" Target="../tables/table6.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17.xml"/><Relationship Id="rId1" Type="http://schemas.openxmlformats.org/officeDocument/2006/relationships/printerSettings" Target="../printerSettings/printerSettings12.bin"/><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B945E-BE68-433D-9951-D714603908E3}">
  <sheetPr>
    <tabColor theme="5" tint="0.39997558519241921"/>
  </sheetPr>
  <dimension ref="A1:G4"/>
  <sheetViews>
    <sheetView topLeftCell="A4" zoomScale="115" zoomScaleNormal="115" workbookViewId="0"/>
  </sheetViews>
  <sheetFormatPr defaultColWidth="9.1796875" defaultRowHeight="14.5" x14ac:dyDescent="0.35"/>
  <cols>
    <col min="1" max="16384" width="9.1796875" style="4"/>
  </cols>
  <sheetData>
    <row r="1" spans="1:7" hidden="1" x14ac:dyDescent="0.35">
      <c r="A1" s="4" t="s">
        <v>367</v>
      </c>
    </row>
    <row r="3" spans="1:7" ht="48.5" x14ac:dyDescent="1.25">
      <c r="C3" s="115" t="s">
        <v>30</v>
      </c>
      <c r="D3" s="115"/>
      <c r="E3" s="115"/>
      <c r="F3" s="115"/>
      <c r="G3" s="115"/>
    </row>
    <row r="4" spans="1:7" ht="28" x14ac:dyDescent="0.6">
      <c r="C4" s="114" t="s">
        <v>31</v>
      </c>
      <c r="D4" s="114"/>
      <c r="E4" s="114"/>
      <c r="F4" s="114"/>
      <c r="G4" s="114"/>
    </row>
  </sheetData>
  <mergeCells count="2">
    <mergeCell ref="C4:G4"/>
    <mergeCell ref="C3:G3"/>
  </mergeCells>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A8B45-9B74-41EF-AE8B-D5B9200E94AA}">
  <sheetPr>
    <tabColor theme="8" tint="0.39997558519241921"/>
  </sheetPr>
  <dimension ref="A1:Q46"/>
  <sheetViews>
    <sheetView topLeftCell="A31" zoomScale="89" zoomScaleNormal="89" workbookViewId="0"/>
  </sheetViews>
  <sheetFormatPr defaultColWidth="9.1796875" defaultRowHeight="14.5" x14ac:dyDescent="0.35"/>
  <cols>
    <col min="1" max="1" width="12.26953125" bestFit="1" customWidth="1"/>
    <col min="2" max="2" width="12" bestFit="1" customWidth="1"/>
    <col min="3" max="3" width="12.26953125" bestFit="1" customWidth="1"/>
    <col min="4" max="4" width="13.1796875" customWidth="1"/>
    <col min="5" max="5" width="12" bestFit="1" customWidth="1"/>
    <col min="6" max="6" width="12.26953125" bestFit="1" customWidth="1"/>
    <col min="7" max="7" width="13.1796875" bestFit="1" customWidth="1"/>
    <col min="8" max="10" width="12" bestFit="1" customWidth="1"/>
    <col min="11" max="11" width="11.7265625" customWidth="1"/>
    <col min="12" max="12" width="13.54296875" customWidth="1"/>
    <col min="13" max="13" width="14.54296875" customWidth="1"/>
    <col min="14" max="14" width="11.6328125" bestFit="1" customWidth="1"/>
    <col min="15" max="18" width="10.81640625" bestFit="1" customWidth="1"/>
    <col min="19" max="19" width="12" bestFit="1" customWidth="1"/>
  </cols>
  <sheetData>
    <row r="1" spans="1:14" x14ac:dyDescent="0.35">
      <c r="A1" s="31"/>
      <c r="B1" s="31"/>
      <c r="C1" s="31"/>
      <c r="D1" s="31"/>
      <c r="E1" s="31"/>
      <c r="F1" s="31"/>
      <c r="G1" s="31"/>
      <c r="H1" s="31"/>
      <c r="I1" s="31"/>
      <c r="J1" s="31"/>
      <c r="K1" s="31"/>
      <c r="L1" s="31"/>
      <c r="M1" s="31"/>
      <c r="N1" s="31"/>
    </row>
    <row r="2" spans="1:14" ht="31.5" thickBot="1" x14ac:dyDescent="0.75">
      <c r="A2" s="31"/>
      <c r="B2" s="118" t="s">
        <v>255</v>
      </c>
      <c r="C2" s="118"/>
      <c r="D2" s="118"/>
      <c r="E2" s="118"/>
      <c r="F2" s="118"/>
      <c r="G2" s="118"/>
      <c r="H2" s="118"/>
      <c r="I2" s="118"/>
      <c r="J2" s="118"/>
      <c r="K2" s="118"/>
      <c r="L2" s="118"/>
      <c r="M2" s="118"/>
      <c r="N2" s="31"/>
    </row>
    <row r="3" spans="1:14" ht="15" thickTop="1" x14ac:dyDescent="0.35">
      <c r="A3" s="31"/>
      <c r="B3" s="31"/>
      <c r="C3" s="31"/>
      <c r="D3" s="31"/>
      <c r="E3" s="31"/>
      <c r="F3" s="31"/>
      <c r="G3" s="31"/>
      <c r="H3" s="31"/>
      <c r="I3" s="31"/>
      <c r="J3" s="31"/>
      <c r="K3" s="31"/>
      <c r="L3" s="31"/>
      <c r="M3" s="31"/>
      <c r="N3" s="31"/>
    </row>
    <row r="4" spans="1:14" x14ac:dyDescent="0.35">
      <c r="A4" s="31"/>
      <c r="B4" s="31"/>
      <c r="C4" s="31"/>
      <c r="D4" s="31"/>
      <c r="E4" s="31"/>
      <c r="F4" s="31"/>
      <c r="G4" s="31"/>
      <c r="H4" s="31"/>
      <c r="I4" s="31"/>
      <c r="J4" s="31"/>
      <c r="K4" s="31"/>
      <c r="L4" s="31"/>
      <c r="M4" s="31"/>
      <c r="N4" s="31"/>
    </row>
    <row r="5" spans="1:14" ht="26.5" thickBot="1" x14ac:dyDescent="0.65">
      <c r="A5" s="31"/>
      <c r="B5" s="119" t="s">
        <v>256</v>
      </c>
      <c r="C5" s="119"/>
      <c r="D5" s="119"/>
      <c r="E5" s="119"/>
      <c r="F5" s="31"/>
      <c r="G5" s="31"/>
      <c r="H5" s="31"/>
      <c r="I5" s="31"/>
      <c r="J5" s="119" t="s">
        <v>257</v>
      </c>
      <c r="K5" s="119"/>
      <c r="L5" s="119"/>
      <c r="M5" s="119"/>
      <c r="N5" s="31"/>
    </row>
    <row r="6" spans="1:14" ht="15" thickTop="1" x14ac:dyDescent="0.35">
      <c r="A6" s="31"/>
      <c r="B6" s="31"/>
      <c r="C6" s="31"/>
      <c r="D6" s="31"/>
      <c r="E6" s="31"/>
      <c r="F6" s="31"/>
      <c r="G6" s="31"/>
      <c r="H6" s="31"/>
      <c r="I6" s="31"/>
      <c r="J6" s="31"/>
      <c r="K6" s="31"/>
      <c r="L6" s="31"/>
      <c r="M6" s="31"/>
      <c r="N6" s="31"/>
    </row>
    <row r="7" spans="1:14" ht="15.5" x14ac:dyDescent="0.35">
      <c r="A7" s="31"/>
      <c r="B7" s="32" t="s">
        <v>258</v>
      </c>
      <c r="C7" s="32" t="s">
        <v>259</v>
      </c>
      <c r="D7" s="32" t="s">
        <v>260</v>
      </c>
      <c r="E7" s="32" t="s">
        <v>261</v>
      </c>
      <c r="F7" s="31"/>
      <c r="G7" s="31"/>
      <c r="H7" s="31"/>
      <c r="I7" s="31"/>
      <c r="J7" s="32" t="s">
        <v>258</v>
      </c>
      <c r="K7" s="32" t="s">
        <v>259</v>
      </c>
      <c r="L7" s="32" t="s">
        <v>260</v>
      </c>
      <c r="M7" s="32" t="s">
        <v>261</v>
      </c>
      <c r="N7" s="31"/>
    </row>
    <row r="8" spans="1:14" x14ac:dyDescent="0.35">
      <c r="A8" s="31"/>
      <c r="B8" s="5">
        <v>1</v>
      </c>
      <c r="C8" s="1">
        <v>4</v>
      </c>
      <c r="D8" s="1">
        <v>13</v>
      </c>
      <c r="E8" s="1">
        <v>26</v>
      </c>
      <c r="F8" s="31"/>
      <c r="G8" s="31"/>
      <c r="H8" s="31"/>
      <c r="I8" s="31"/>
      <c r="J8" s="83">
        <v>1</v>
      </c>
      <c r="K8" s="90">
        <f t="shared" ref="K8:K13" si="0">C8*$H$16</f>
        <v>34361.68</v>
      </c>
      <c r="L8" s="90">
        <f>D8*$H$17</f>
        <v>59145.71</v>
      </c>
      <c r="M8" s="90">
        <f>E8*H$18</f>
        <v>16351.14</v>
      </c>
      <c r="N8" s="31"/>
    </row>
    <row r="9" spans="1:14" x14ac:dyDescent="0.35">
      <c r="A9" s="31"/>
      <c r="B9" s="5">
        <v>2</v>
      </c>
      <c r="C9" s="1">
        <v>8</v>
      </c>
      <c r="D9" s="1">
        <v>9</v>
      </c>
      <c r="E9" s="1">
        <v>35</v>
      </c>
      <c r="F9" s="31"/>
      <c r="G9" s="33"/>
      <c r="H9" s="31"/>
      <c r="I9" s="31"/>
      <c r="J9" s="83">
        <v>2</v>
      </c>
      <c r="K9" s="90">
        <f t="shared" si="0"/>
        <v>68723.360000000001</v>
      </c>
      <c r="L9" s="90">
        <f t="shared" ref="L9:L18" si="1">D9*$H$17</f>
        <v>40947.03</v>
      </c>
      <c r="M9" s="90">
        <f t="shared" ref="M9:M18" si="2">E9*H$18</f>
        <v>22011.149999999998</v>
      </c>
      <c r="N9" s="31"/>
    </row>
    <row r="10" spans="1:14" x14ac:dyDescent="0.35">
      <c r="A10" s="31"/>
      <c r="B10" s="5">
        <v>3</v>
      </c>
      <c r="C10" s="1">
        <v>8</v>
      </c>
      <c r="D10" s="1">
        <v>6</v>
      </c>
      <c r="E10" s="1">
        <v>19</v>
      </c>
      <c r="F10" s="31"/>
      <c r="G10" s="31"/>
      <c r="H10" s="31"/>
      <c r="I10" s="31"/>
      <c r="J10" s="83">
        <v>3</v>
      </c>
      <c r="K10" s="90">
        <f t="shared" si="0"/>
        <v>68723.360000000001</v>
      </c>
      <c r="L10" s="90">
        <f t="shared" si="1"/>
        <v>27298.02</v>
      </c>
      <c r="M10" s="90">
        <f t="shared" si="2"/>
        <v>11948.91</v>
      </c>
      <c r="N10" s="31"/>
    </row>
    <row r="11" spans="1:14" x14ac:dyDescent="0.35">
      <c r="A11" s="31"/>
      <c r="B11" s="5">
        <v>4</v>
      </c>
      <c r="C11" s="1">
        <v>8</v>
      </c>
      <c r="D11" s="1">
        <v>5</v>
      </c>
      <c r="E11" s="1">
        <v>32</v>
      </c>
      <c r="F11" s="31"/>
      <c r="G11" s="31"/>
      <c r="H11" s="31"/>
      <c r="I11" s="31"/>
      <c r="J11" s="83">
        <v>4</v>
      </c>
      <c r="K11" s="90">
        <f t="shared" si="0"/>
        <v>68723.360000000001</v>
      </c>
      <c r="L11" s="90">
        <f t="shared" si="1"/>
        <v>22748.35</v>
      </c>
      <c r="M11" s="90">
        <f t="shared" si="2"/>
        <v>20124.48</v>
      </c>
      <c r="N11" s="31"/>
    </row>
    <row r="12" spans="1:14" x14ac:dyDescent="0.35">
      <c r="A12" s="31"/>
      <c r="B12" s="5">
        <v>5</v>
      </c>
      <c r="C12" s="1">
        <v>4</v>
      </c>
      <c r="D12" s="1">
        <v>11</v>
      </c>
      <c r="E12" s="1">
        <v>23</v>
      </c>
      <c r="F12" s="31"/>
      <c r="G12" s="31"/>
      <c r="H12" s="31"/>
      <c r="I12" s="31"/>
      <c r="J12" s="83">
        <v>5</v>
      </c>
      <c r="K12" s="90">
        <f t="shared" si="0"/>
        <v>34361.68</v>
      </c>
      <c r="L12" s="90">
        <f t="shared" si="1"/>
        <v>50046.37</v>
      </c>
      <c r="M12" s="90">
        <f t="shared" si="2"/>
        <v>14464.47</v>
      </c>
      <c r="N12" s="31"/>
    </row>
    <row r="13" spans="1:14" x14ac:dyDescent="0.35">
      <c r="A13" s="31"/>
      <c r="B13" s="83">
        <v>6</v>
      </c>
      <c r="C13" s="29">
        <v>12</v>
      </c>
      <c r="D13" s="29">
        <v>13</v>
      </c>
      <c r="E13" s="29">
        <v>22</v>
      </c>
      <c r="F13" s="31"/>
      <c r="G13" s="31"/>
      <c r="H13" s="31"/>
      <c r="I13" s="31"/>
      <c r="J13" s="83">
        <v>6</v>
      </c>
      <c r="K13" s="90">
        <f t="shared" si="0"/>
        <v>103085.04000000001</v>
      </c>
      <c r="L13" s="90">
        <f t="shared" si="1"/>
        <v>59145.71</v>
      </c>
      <c r="M13" s="90">
        <f t="shared" si="2"/>
        <v>13835.58</v>
      </c>
      <c r="N13" s="31"/>
    </row>
    <row r="14" spans="1:14" ht="15.65" customHeight="1" thickBot="1" x14ac:dyDescent="0.4">
      <c r="A14" s="31"/>
      <c r="B14" s="83">
        <v>7</v>
      </c>
      <c r="C14" s="29">
        <v>4</v>
      </c>
      <c r="D14" s="29">
        <v>7</v>
      </c>
      <c r="E14" s="29">
        <v>18</v>
      </c>
      <c r="F14" s="31"/>
      <c r="G14" s="117" t="s">
        <v>393</v>
      </c>
      <c r="H14" s="117"/>
      <c r="I14" s="31"/>
      <c r="J14" s="83">
        <v>7</v>
      </c>
      <c r="K14" s="90">
        <f t="shared" ref="K14:K18" si="3">C14*$H$16</f>
        <v>34361.68</v>
      </c>
      <c r="L14" s="90">
        <f t="shared" si="1"/>
        <v>31847.690000000002</v>
      </c>
      <c r="M14" s="90">
        <f t="shared" si="2"/>
        <v>11320.02</v>
      </c>
      <c r="N14" s="31"/>
    </row>
    <row r="15" spans="1:14" ht="15" thickTop="1" x14ac:dyDescent="0.35">
      <c r="A15" s="31"/>
      <c r="B15" s="83">
        <v>8</v>
      </c>
      <c r="C15" s="29">
        <v>1</v>
      </c>
      <c r="D15" s="29">
        <v>9</v>
      </c>
      <c r="E15" s="29">
        <v>33</v>
      </c>
      <c r="F15" s="31"/>
      <c r="G15" s="31"/>
      <c r="H15" s="31"/>
      <c r="I15" s="31"/>
      <c r="J15" s="83">
        <v>8</v>
      </c>
      <c r="K15" s="90">
        <f t="shared" si="3"/>
        <v>8590.42</v>
      </c>
      <c r="L15" s="90">
        <f t="shared" si="1"/>
        <v>40947.03</v>
      </c>
      <c r="M15" s="90">
        <f t="shared" si="2"/>
        <v>20753.37</v>
      </c>
      <c r="N15" s="31"/>
    </row>
    <row r="16" spans="1:14" ht="15.5" x14ac:dyDescent="0.35">
      <c r="A16" s="31"/>
      <c r="B16" s="5">
        <v>9</v>
      </c>
      <c r="C16" s="1">
        <v>8</v>
      </c>
      <c r="D16" s="1">
        <v>16</v>
      </c>
      <c r="E16" s="1">
        <v>18</v>
      </c>
      <c r="F16" s="31"/>
      <c r="G16" s="34" t="str">
        <f>C7</f>
        <v>Cars</v>
      </c>
      <c r="H16" s="30">
        <v>8590.42</v>
      </c>
      <c r="I16" s="31"/>
      <c r="J16" s="83">
        <v>9</v>
      </c>
      <c r="K16" s="90">
        <f t="shared" si="3"/>
        <v>68723.360000000001</v>
      </c>
      <c r="L16" s="90">
        <f t="shared" si="1"/>
        <v>72794.720000000001</v>
      </c>
      <c r="M16" s="90">
        <f t="shared" si="2"/>
        <v>11320.02</v>
      </c>
      <c r="N16" s="31"/>
    </row>
    <row r="17" spans="1:17" ht="15.5" x14ac:dyDescent="0.35">
      <c r="A17" s="31"/>
      <c r="B17" s="5">
        <v>10</v>
      </c>
      <c r="C17" s="1">
        <v>7</v>
      </c>
      <c r="D17" s="1">
        <v>8</v>
      </c>
      <c r="E17" s="1">
        <v>13</v>
      </c>
      <c r="F17" s="31"/>
      <c r="G17" s="49" t="s">
        <v>260</v>
      </c>
      <c r="H17" s="30">
        <v>4549.67</v>
      </c>
      <c r="I17" s="31"/>
      <c r="J17" s="83">
        <v>10</v>
      </c>
      <c r="K17" s="90">
        <f>C17*$H$16</f>
        <v>60132.94</v>
      </c>
      <c r="L17" s="90">
        <f t="shared" si="1"/>
        <v>36397.360000000001</v>
      </c>
      <c r="M17" s="90">
        <f t="shared" si="2"/>
        <v>8175.57</v>
      </c>
      <c r="N17" s="31"/>
    </row>
    <row r="18" spans="1:17" ht="15.5" x14ac:dyDescent="0.35">
      <c r="A18" s="31"/>
      <c r="B18" s="5">
        <v>11</v>
      </c>
      <c r="C18" s="1">
        <v>4</v>
      </c>
      <c r="D18" s="1">
        <v>13</v>
      </c>
      <c r="E18" s="1">
        <v>26</v>
      </c>
      <c r="F18" s="31"/>
      <c r="G18" s="34" t="str">
        <f>E7</f>
        <v xml:space="preserve">Bicycles </v>
      </c>
      <c r="H18" s="30">
        <v>628.89</v>
      </c>
      <c r="I18" s="31"/>
      <c r="J18" s="83">
        <v>11</v>
      </c>
      <c r="K18" s="90">
        <f t="shared" si="3"/>
        <v>34361.68</v>
      </c>
      <c r="L18" s="90">
        <f t="shared" si="1"/>
        <v>59145.71</v>
      </c>
      <c r="M18" s="90">
        <f t="shared" si="2"/>
        <v>16351.14</v>
      </c>
      <c r="N18" s="31"/>
    </row>
    <row r="19" spans="1:17" x14ac:dyDescent="0.35">
      <c r="A19" s="31"/>
      <c r="B19" s="5">
        <v>12</v>
      </c>
      <c r="C19" s="1">
        <v>17</v>
      </c>
      <c r="D19" s="1">
        <v>9</v>
      </c>
      <c r="E19" s="1">
        <v>43</v>
      </c>
      <c r="F19" s="31"/>
      <c r="G19" s="31"/>
      <c r="H19" s="31"/>
      <c r="I19" s="31"/>
      <c r="J19" s="83">
        <v>12</v>
      </c>
      <c r="K19" s="90">
        <f>C19*$H$16</f>
        <v>146037.14000000001</v>
      </c>
      <c r="L19" s="90">
        <f>D19*$H$17</f>
        <v>40947.03</v>
      </c>
      <c r="M19" s="90">
        <f>E19*H$18</f>
        <v>27042.27</v>
      </c>
      <c r="N19" s="31"/>
    </row>
    <row r="20" spans="1:17" x14ac:dyDescent="0.35">
      <c r="A20" s="31"/>
      <c r="B20" s="31"/>
      <c r="C20" s="31"/>
      <c r="D20" s="31"/>
      <c r="E20" s="31"/>
      <c r="F20" s="31"/>
      <c r="G20" s="31"/>
      <c r="H20" s="31"/>
      <c r="I20" s="31"/>
      <c r="J20" s="31"/>
      <c r="K20" s="31"/>
      <c r="L20" s="31"/>
      <c r="M20" s="31"/>
      <c r="N20" s="31"/>
      <c r="P20" s="39"/>
      <c r="Q20" s="39"/>
    </row>
    <row r="21" spans="1:17" x14ac:dyDescent="0.35">
      <c r="A21" s="31"/>
      <c r="B21" s="31"/>
      <c r="C21" s="31"/>
      <c r="D21" s="31"/>
      <c r="E21" s="31"/>
      <c r="F21" s="31"/>
      <c r="G21" s="31"/>
      <c r="H21" s="31"/>
      <c r="I21" s="31"/>
      <c r="J21" s="31"/>
      <c r="K21" s="31"/>
      <c r="L21" s="31"/>
      <c r="M21" s="31"/>
      <c r="N21" s="31"/>
    </row>
    <row r="24" spans="1:17" ht="15.5" x14ac:dyDescent="0.35">
      <c r="B24" s="32" t="s">
        <v>258</v>
      </c>
      <c r="C24" s="5">
        <v>1</v>
      </c>
      <c r="D24" s="5">
        <v>2</v>
      </c>
      <c r="E24" s="5">
        <v>3</v>
      </c>
      <c r="F24" s="5">
        <v>4</v>
      </c>
      <c r="G24" s="5">
        <v>5</v>
      </c>
      <c r="H24" s="83">
        <v>6</v>
      </c>
      <c r="I24" s="83">
        <v>7</v>
      </c>
      <c r="J24" s="83">
        <v>8</v>
      </c>
      <c r="K24" s="5">
        <v>9</v>
      </c>
      <c r="L24" s="5">
        <v>10</v>
      </c>
      <c r="M24" s="5">
        <v>11</v>
      </c>
      <c r="N24" s="5">
        <v>12</v>
      </c>
    </row>
    <row r="25" spans="1:17" ht="15.5" x14ac:dyDescent="0.35">
      <c r="B25" s="32" t="s">
        <v>259</v>
      </c>
      <c r="C25" s="90">
        <f t="shared" ref="C25:I25" si="4">C31*$H16</f>
        <v>34361.68</v>
      </c>
      <c r="D25" s="90">
        <f t="shared" si="4"/>
        <v>68723.360000000001</v>
      </c>
      <c r="E25" s="90">
        <f t="shared" si="4"/>
        <v>68723.360000000001</v>
      </c>
      <c r="F25" s="90">
        <f t="shared" si="4"/>
        <v>68723.360000000001</v>
      </c>
      <c r="G25" s="90">
        <f t="shared" si="4"/>
        <v>34361.68</v>
      </c>
      <c r="H25" s="90">
        <f t="shared" si="4"/>
        <v>103085.04000000001</v>
      </c>
      <c r="I25" s="90">
        <f t="shared" si="4"/>
        <v>34361.68</v>
      </c>
      <c r="J25" s="90">
        <f t="shared" ref="J25:N25" si="5">J31*$H16</f>
        <v>8590.42</v>
      </c>
      <c r="K25" s="90">
        <f t="shared" si="5"/>
        <v>68723.360000000001</v>
      </c>
      <c r="L25" s="90">
        <f t="shared" si="5"/>
        <v>60132.94</v>
      </c>
      <c r="M25" s="90">
        <f t="shared" si="5"/>
        <v>34361.68</v>
      </c>
      <c r="N25" s="90">
        <f t="shared" si="5"/>
        <v>146037.14000000001</v>
      </c>
    </row>
    <row r="26" spans="1:17" ht="15.5" x14ac:dyDescent="0.35">
      <c r="B26" s="32" t="s">
        <v>260</v>
      </c>
      <c r="C26" s="90">
        <f t="shared" ref="C26:N27" si="6">C32*$H17</f>
        <v>59145.71</v>
      </c>
      <c r="D26" s="90">
        <f t="shared" si="6"/>
        <v>40947.03</v>
      </c>
      <c r="E26" s="90">
        <f t="shared" si="6"/>
        <v>27298.02</v>
      </c>
      <c r="F26" s="90">
        <f t="shared" si="6"/>
        <v>22748.35</v>
      </c>
      <c r="G26" s="90">
        <f t="shared" si="6"/>
        <v>50046.37</v>
      </c>
      <c r="H26" s="90">
        <f>H32*$H17</f>
        <v>59145.71</v>
      </c>
      <c r="I26" s="90">
        <f>I32*$H17</f>
        <v>31847.690000000002</v>
      </c>
      <c r="J26" s="90">
        <f t="shared" si="6"/>
        <v>40947.03</v>
      </c>
      <c r="K26" s="90">
        <f t="shared" si="6"/>
        <v>72794.720000000001</v>
      </c>
      <c r="L26" s="90">
        <f t="shared" si="6"/>
        <v>36397.360000000001</v>
      </c>
      <c r="M26" s="90">
        <f t="shared" si="6"/>
        <v>59145.71</v>
      </c>
      <c r="N26" s="90">
        <f t="shared" si="6"/>
        <v>40947.03</v>
      </c>
    </row>
    <row r="27" spans="1:17" ht="15.5" x14ac:dyDescent="0.35">
      <c r="B27" s="32" t="s">
        <v>261</v>
      </c>
      <c r="C27" s="90">
        <f t="shared" si="6"/>
        <v>16351.14</v>
      </c>
      <c r="D27" s="90">
        <f t="shared" si="6"/>
        <v>22011.149999999998</v>
      </c>
      <c r="E27" s="90">
        <f t="shared" si="6"/>
        <v>11948.91</v>
      </c>
      <c r="F27" s="90">
        <f t="shared" si="6"/>
        <v>20124.48</v>
      </c>
      <c r="G27" s="90">
        <f t="shared" si="6"/>
        <v>14464.47</v>
      </c>
      <c r="H27" s="90">
        <f t="shared" si="6"/>
        <v>13835.58</v>
      </c>
      <c r="I27" s="90">
        <f>I33*$H18</f>
        <v>11320.02</v>
      </c>
      <c r="J27" s="90">
        <f t="shared" si="6"/>
        <v>20753.37</v>
      </c>
      <c r="K27" s="90">
        <f t="shared" si="6"/>
        <v>11320.02</v>
      </c>
      <c r="L27" s="90">
        <f t="shared" si="6"/>
        <v>8175.57</v>
      </c>
      <c r="M27" s="90">
        <f t="shared" si="6"/>
        <v>16351.14</v>
      </c>
      <c r="N27" s="90">
        <f t="shared" si="6"/>
        <v>27042.27</v>
      </c>
    </row>
    <row r="30" spans="1:17" ht="15.5" x14ac:dyDescent="0.35">
      <c r="B30" s="32" t="s">
        <v>258</v>
      </c>
      <c r="C30" s="5">
        <v>1</v>
      </c>
      <c r="D30" s="5">
        <v>2</v>
      </c>
      <c r="E30" s="5">
        <v>3</v>
      </c>
      <c r="F30" s="5">
        <v>4</v>
      </c>
      <c r="G30" s="5">
        <v>5</v>
      </c>
      <c r="H30" s="83">
        <v>6</v>
      </c>
      <c r="I30" s="83">
        <v>7</v>
      </c>
      <c r="J30" s="83">
        <v>8</v>
      </c>
      <c r="K30" s="5">
        <v>9</v>
      </c>
      <c r="L30" s="5">
        <v>10</v>
      </c>
      <c r="M30" s="5">
        <v>11</v>
      </c>
      <c r="N30" s="5">
        <v>12</v>
      </c>
    </row>
    <row r="31" spans="1:17" ht="15.5" x14ac:dyDescent="0.35">
      <c r="B31" s="32" t="s">
        <v>259</v>
      </c>
      <c r="C31" s="1">
        <v>4</v>
      </c>
      <c r="D31" s="1">
        <v>8</v>
      </c>
      <c r="E31" s="1">
        <v>8</v>
      </c>
      <c r="F31" s="1">
        <v>8</v>
      </c>
      <c r="G31" s="1">
        <v>4</v>
      </c>
      <c r="H31" s="29">
        <v>12</v>
      </c>
      <c r="I31" s="29">
        <v>4</v>
      </c>
      <c r="J31" s="29">
        <v>1</v>
      </c>
      <c r="K31" s="1">
        <v>8</v>
      </c>
      <c r="L31" s="1">
        <v>7</v>
      </c>
      <c r="M31" s="1">
        <v>4</v>
      </c>
      <c r="N31" s="1">
        <v>17</v>
      </c>
    </row>
    <row r="32" spans="1:17" ht="15.5" x14ac:dyDescent="0.35">
      <c r="B32" s="32" t="s">
        <v>260</v>
      </c>
      <c r="C32" s="1">
        <v>13</v>
      </c>
      <c r="D32" s="1">
        <v>9</v>
      </c>
      <c r="E32" s="1">
        <v>6</v>
      </c>
      <c r="F32" s="1">
        <v>5</v>
      </c>
      <c r="G32" s="1">
        <v>11</v>
      </c>
      <c r="H32" s="29">
        <v>13</v>
      </c>
      <c r="I32" s="29">
        <v>7</v>
      </c>
      <c r="J32" s="29">
        <v>9</v>
      </c>
      <c r="K32" s="1">
        <v>16</v>
      </c>
      <c r="L32" s="1">
        <v>8</v>
      </c>
      <c r="M32" s="1">
        <v>13</v>
      </c>
      <c r="N32" s="1">
        <v>9</v>
      </c>
    </row>
    <row r="33" spans="2:14" ht="15.5" x14ac:dyDescent="0.35">
      <c r="B33" s="32" t="s">
        <v>261</v>
      </c>
      <c r="C33" s="1">
        <v>26</v>
      </c>
      <c r="D33" s="1">
        <v>35</v>
      </c>
      <c r="E33" s="1">
        <v>19</v>
      </c>
      <c r="F33" s="1">
        <v>32</v>
      </c>
      <c r="G33" s="1">
        <v>23</v>
      </c>
      <c r="H33" s="29">
        <v>22</v>
      </c>
      <c r="I33" s="29">
        <v>18</v>
      </c>
      <c r="J33" s="29">
        <v>33</v>
      </c>
      <c r="K33" s="1">
        <v>18</v>
      </c>
      <c r="L33" s="1">
        <v>13</v>
      </c>
      <c r="M33" s="1">
        <v>26</v>
      </c>
      <c r="N33" s="1">
        <v>43</v>
      </c>
    </row>
    <row r="37" spans="2:14" x14ac:dyDescent="0.35">
      <c r="B37" s="83"/>
      <c r="C37" s="83"/>
      <c r="D37" s="83"/>
      <c r="E37" s="83"/>
      <c r="F37" s="87" t="s">
        <v>385</v>
      </c>
      <c r="G37" s="88">
        <v>9.5000000000000001E-2</v>
      </c>
    </row>
    <row r="38" spans="2:14" x14ac:dyDescent="0.35">
      <c r="B38" s="120" t="s">
        <v>381</v>
      </c>
      <c r="C38" s="120"/>
      <c r="D38" s="89" t="s">
        <v>380</v>
      </c>
      <c r="E38" s="89" t="s">
        <v>382</v>
      </c>
      <c r="F38" s="89" t="s">
        <v>383</v>
      </c>
      <c r="G38" s="89" t="s">
        <v>384</v>
      </c>
    </row>
    <row r="39" spans="2:14" x14ac:dyDescent="0.35">
      <c r="B39" s="116" t="s">
        <v>386</v>
      </c>
      <c r="C39" s="116"/>
      <c r="D39" s="84">
        <v>4.95</v>
      </c>
      <c r="E39" s="29">
        <v>32</v>
      </c>
      <c r="F39" s="84">
        <f>(D39*E39)*$G$37</f>
        <v>15.048</v>
      </c>
      <c r="G39" s="84">
        <f>(D39*E39)+F39</f>
        <v>173.44800000000001</v>
      </c>
    </row>
    <row r="40" spans="2:14" x14ac:dyDescent="0.35">
      <c r="B40" s="116" t="s">
        <v>387</v>
      </c>
      <c r="C40" s="116"/>
      <c r="D40" s="84">
        <v>11.95</v>
      </c>
      <c r="E40" s="29">
        <v>16</v>
      </c>
      <c r="F40" s="84">
        <f t="shared" ref="F40:F44" si="7">(D40*E40)*$G$37</f>
        <v>18.163999999999998</v>
      </c>
      <c r="G40" s="84">
        <f t="shared" ref="G40:G45" si="8">(D40*E40)+F40</f>
        <v>209.36399999999998</v>
      </c>
    </row>
    <row r="41" spans="2:14" x14ac:dyDescent="0.35">
      <c r="B41" s="116" t="s">
        <v>388</v>
      </c>
      <c r="C41" s="116"/>
      <c r="D41" s="84">
        <v>8.9499999999999993</v>
      </c>
      <c r="E41" s="29">
        <v>15</v>
      </c>
      <c r="F41" s="84">
        <f t="shared" si="7"/>
        <v>12.75375</v>
      </c>
      <c r="G41" s="84">
        <f t="shared" si="8"/>
        <v>147.00375</v>
      </c>
    </row>
    <row r="42" spans="2:14" x14ac:dyDescent="0.35">
      <c r="B42" s="116" t="s">
        <v>389</v>
      </c>
      <c r="C42" s="116"/>
      <c r="D42" s="84">
        <v>5.95</v>
      </c>
      <c r="E42" s="29">
        <v>46</v>
      </c>
      <c r="F42" s="84">
        <f t="shared" si="7"/>
        <v>26.0015</v>
      </c>
      <c r="G42" s="84">
        <f t="shared" si="8"/>
        <v>299.70150000000001</v>
      </c>
    </row>
    <row r="43" spans="2:14" x14ac:dyDescent="0.35">
      <c r="B43" s="116" t="s">
        <v>390</v>
      </c>
      <c r="C43" s="116"/>
      <c r="D43" s="84">
        <v>3.95</v>
      </c>
      <c r="E43" s="29">
        <v>93</v>
      </c>
      <c r="F43" s="84">
        <f t="shared" si="7"/>
        <v>34.898250000000004</v>
      </c>
      <c r="G43" s="84">
        <f t="shared" si="8"/>
        <v>402.24825000000004</v>
      </c>
    </row>
    <row r="44" spans="2:14" x14ac:dyDescent="0.35">
      <c r="B44" s="116" t="s">
        <v>391</v>
      </c>
      <c r="C44" s="116"/>
      <c r="D44" s="84">
        <v>5.95</v>
      </c>
      <c r="E44" s="29">
        <v>21</v>
      </c>
      <c r="F44" s="84">
        <f t="shared" si="7"/>
        <v>11.87025</v>
      </c>
      <c r="G44" s="84">
        <f t="shared" si="8"/>
        <v>136.82025000000002</v>
      </c>
    </row>
    <row r="45" spans="2:14" x14ac:dyDescent="0.35">
      <c r="B45" s="116" t="s">
        <v>392</v>
      </c>
      <c r="C45" s="116"/>
      <c r="D45" s="84">
        <v>4.95</v>
      </c>
      <c r="E45" s="29">
        <v>65</v>
      </c>
      <c r="F45" s="84">
        <f>(D45*E45)*$G$37</f>
        <v>30.56625</v>
      </c>
      <c r="G45" s="84">
        <f t="shared" si="8"/>
        <v>352.31625000000003</v>
      </c>
    </row>
    <row r="46" spans="2:14" x14ac:dyDescent="0.35">
      <c r="B46" s="29"/>
      <c r="C46" s="29"/>
      <c r="D46" s="29"/>
      <c r="E46" s="29"/>
      <c r="F46" s="85" t="s">
        <v>29</v>
      </c>
      <c r="G46" s="86">
        <f>SUM(G39:G45)</f>
        <v>1720.902</v>
      </c>
    </row>
  </sheetData>
  <mergeCells count="12">
    <mergeCell ref="B2:M2"/>
    <mergeCell ref="B5:E5"/>
    <mergeCell ref="J5:M5"/>
    <mergeCell ref="B38:C38"/>
    <mergeCell ref="B39:C39"/>
    <mergeCell ref="B45:C45"/>
    <mergeCell ref="G14:H14"/>
    <mergeCell ref="B40:C40"/>
    <mergeCell ref="B41:C41"/>
    <mergeCell ref="B42:C42"/>
    <mergeCell ref="B43:C43"/>
    <mergeCell ref="B44:C4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731C6-972A-4052-B661-41560E7A1559}">
  <sheetPr>
    <tabColor rgb="FF3399FF"/>
  </sheetPr>
  <dimension ref="C3:V40"/>
  <sheetViews>
    <sheetView topLeftCell="B3" zoomScale="88" zoomScaleNormal="88" workbookViewId="0">
      <selection activeCell="R8" sqref="R8"/>
    </sheetView>
  </sheetViews>
  <sheetFormatPr defaultRowHeight="14.5" x14ac:dyDescent="0.35"/>
  <cols>
    <col min="1" max="1" width="0" hidden="1" customWidth="1"/>
    <col min="4" max="4" width="10.81640625" bestFit="1" customWidth="1"/>
    <col min="6" max="7" width="10.81640625" bestFit="1" customWidth="1"/>
    <col min="15" max="15" width="10.36328125" bestFit="1" customWidth="1"/>
    <col min="16" max="16" width="14.81640625" customWidth="1"/>
    <col min="17" max="17" width="15.1796875" customWidth="1"/>
    <col min="20" max="20" width="10.36328125" bestFit="1" customWidth="1"/>
    <col min="21" max="21" width="13.81640625" bestFit="1" customWidth="1"/>
    <col min="22" max="22" width="15.08984375" bestFit="1" customWidth="1"/>
  </cols>
  <sheetData>
    <row r="3" spans="3:22" ht="25.5" x14ac:dyDescent="0.55000000000000004">
      <c r="C3" s="122" t="s">
        <v>487</v>
      </c>
      <c r="D3" s="123"/>
      <c r="E3" s="123"/>
      <c r="F3" s="123"/>
      <c r="G3" s="123"/>
      <c r="H3" s="123"/>
      <c r="I3" s="123"/>
      <c r="J3" s="123"/>
      <c r="K3" s="124"/>
    </row>
    <row r="5" spans="3:22" x14ac:dyDescent="0.35">
      <c r="V5" s="5"/>
    </row>
    <row r="6" spans="3:22" ht="15.5" x14ac:dyDescent="0.35">
      <c r="O6" s="121" t="s">
        <v>488</v>
      </c>
      <c r="P6" s="121"/>
      <c r="Q6" s="121"/>
      <c r="V6" s="5"/>
    </row>
    <row r="7" spans="3:22" x14ac:dyDescent="0.35">
      <c r="J7" s="127" t="s">
        <v>33</v>
      </c>
      <c r="K7" s="127"/>
      <c r="L7" s="127"/>
    </row>
    <row r="8" spans="3:22" x14ac:dyDescent="0.35">
      <c r="J8" s="127" t="s">
        <v>36</v>
      </c>
      <c r="K8" s="127"/>
      <c r="L8" s="127"/>
      <c r="P8" s="5" t="s">
        <v>489</v>
      </c>
      <c r="Q8" s="110">
        <v>5000</v>
      </c>
      <c r="T8" s="5"/>
      <c r="U8" s="36"/>
      <c r="V8" s="2"/>
    </row>
    <row r="9" spans="3:22" x14ac:dyDescent="0.35">
      <c r="J9" s="2"/>
      <c r="K9" s="2"/>
      <c r="L9" s="2"/>
      <c r="T9" s="5"/>
      <c r="V9" s="1"/>
    </row>
    <row r="10" spans="3:22" x14ac:dyDescent="0.35">
      <c r="J10" s="128" t="s">
        <v>32</v>
      </c>
      <c r="K10" s="128"/>
      <c r="L10" s="128"/>
      <c r="O10" s="5" t="s">
        <v>275</v>
      </c>
      <c r="P10" s="5" t="s">
        <v>276</v>
      </c>
      <c r="Q10" s="5" t="s">
        <v>490</v>
      </c>
      <c r="T10" s="5"/>
      <c r="V10" s="1"/>
    </row>
    <row r="11" spans="3:22" x14ac:dyDescent="0.35">
      <c r="J11" s="128" t="s">
        <v>37</v>
      </c>
      <c r="K11" s="128"/>
      <c r="L11" s="128"/>
      <c r="O11" s="5" t="s">
        <v>267</v>
      </c>
      <c r="P11" s="36">
        <v>4365</v>
      </c>
      <c r="Q11" s="1" t="str">
        <f>IF(P11&gt;=$Q$8,"yes","no")</f>
        <v>no</v>
      </c>
      <c r="T11" s="5"/>
      <c r="V11" s="1"/>
    </row>
    <row r="12" spans="3:22" x14ac:dyDescent="0.35">
      <c r="C12" s="8">
        <v>35</v>
      </c>
      <c r="D12" s="1"/>
      <c r="E12" s="1"/>
      <c r="F12" s="1" t="b">
        <f>IF(C12&lt;40,TRUE,FALSE)</f>
        <v>1</v>
      </c>
      <c r="G12" s="1"/>
      <c r="H12" s="1"/>
      <c r="J12" s="2"/>
      <c r="K12" s="2"/>
      <c r="L12" s="2"/>
      <c r="O12" s="5" t="s">
        <v>268</v>
      </c>
      <c r="P12" s="36">
        <v>6534</v>
      </c>
      <c r="Q12" s="1" t="str">
        <f t="shared" ref="Q12:Q18" si="0">IF(P12&gt;=$Q$8,"yes","no")</f>
        <v>yes</v>
      </c>
      <c r="T12" s="5"/>
      <c r="V12" s="1"/>
    </row>
    <row r="13" spans="3:22" x14ac:dyDescent="0.35">
      <c r="C13" s="8">
        <v>25</v>
      </c>
      <c r="D13" s="1"/>
      <c r="E13" s="1"/>
      <c r="F13" s="1" t="b">
        <f>IF(C13&lt;40,TRUE,FALSE)</f>
        <v>1</v>
      </c>
      <c r="G13" s="1"/>
      <c r="H13" s="1"/>
      <c r="J13" s="126" t="s">
        <v>35</v>
      </c>
      <c r="K13" s="126"/>
      <c r="L13" s="126"/>
      <c r="O13" s="5" t="s">
        <v>269</v>
      </c>
      <c r="P13" s="36">
        <v>2123</v>
      </c>
      <c r="Q13" s="1" t="str">
        <f t="shared" si="0"/>
        <v>no</v>
      </c>
      <c r="T13" s="5"/>
      <c r="V13" s="1"/>
    </row>
    <row r="14" spans="3:22" x14ac:dyDescent="0.35">
      <c r="C14" s="8">
        <v>47</v>
      </c>
      <c r="D14" s="1"/>
      <c r="E14" s="1"/>
      <c r="F14" s="1" t="b">
        <f>IF(C14&lt;40,TRUE,FALSE)</f>
        <v>0</v>
      </c>
      <c r="G14" s="1"/>
      <c r="H14" s="1"/>
      <c r="J14" s="126" t="s">
        <v>39</v>
      </c>
      <c r="K14" s="126"/>
      <c r="L14" s="126"/>
      <c r="O14" s="5" t="s">
        <v>270</v>
      </c>
      <c r="P14" s="36">
        <v>4543</v>
      </c>
      <c r="Q14" s="1" t="str">
        <f t="shared" si="0"/>
        <v>no</v>
      </c>
      <c r="T14" s="5"/>
      <c r="V14" s="1"/>
    </row>
    <row r="15" spans="3:22" x14ac:dyDescent="0.35">
      <c r="C15" s="1"/>
      <c r="D15" s="1"/>
      <c r="E15" s="1"/>
      <c r="F15" s="1"/>
      <c r="G15" s="1"/>
      <c r="H15" s="1"/>
      <c r="J15" s="2"/>
      <c r="K15" s="2"/>
      <c r="L15" s="2"/>
      <c r="O15" s="5" t="s">
        <v>271</v>
      </c>
      <c r="P15" s="36">
        <v>2456</v>
      </c>
      <c r="Q15" s="1" t="str">
        <f t="shared" si="0"/>
        <v>no</v>
      </c>
      <c r="T15" s="5"/>
      <c r="V15" s="1"/>
    </row>
    <row r="16" spans="3:22" x14ac:dyDescent="0.35">
      <c r="C16" s="7">
        <v>35</v>
      </c>
      <c r="D16" s="1"/>
      <c r="E16" s="1"/>
      <c r="F16" s="1" t="b">
        <f>IF(C16&lt;=40,TRUE,FALSE)</f>
        <v>1</v>
      </c>
      <c r="G16" s="1"/>
      <c r="H16" s="1"/>
      <c r="J16" s="129" t="s">
        <v>34</v>
      </c>
      <c r="K16" s="129"/>
      <c r="L16" s="129"/>
      <c r="O16" s="5" t="s">
        <v>272</v>
      </c>
      <c r="P16" s="36">
        <v>2345</v>
      </c>
      <c r="Q16" s="1" t="str">
        <f t="shared" si="0"/>
        <v>no</v>
      </c>
      <c r="T16" s="5"/>
      <c r="V16" s="1"/>
    </row>
    <row r="17" spans="3:22" x14ac:dyDescent="0.35">
      <c r="C17" s="7">
        <v>25</v>
      </c>
      <c r="D17" s="1"/>
      <c r="E17" s="1"/>
      <c r="F17" s="1" t="b">
        <f t="shared" ref="F17" si="1">IF(C17&lt;=40,TRUE,FALSE)</f>
        <v>1</v>
      </c>
      <c r="G17" s="1"/>
      <c r="H17" s="1"/>
      <c r="J17" s="129" t="s">
        <v>38</v>
      </c>
      <c r="K17" s="129"/>
      <c r="L17" s="129"/>
      <c r="O17" s="5" t="s">
        <v>273</v>
      </c>
      <c r="P17" s="36">
        <v>6754</v>
      </c>
      <c r="Q17" s="1" t="str">
        <f t="shared" si="0"/>
        <v>yes</v>
      </c>
      <c r="T17" s="5"/>
      <c r="V17" s="1"/>
    </row>
    <row r="18" spans="3:22" x14ac:dyDescent="0.35">
      <c r="C18" s="7">
        <v>56</v>
      </c>
      <c r="D18" s="1"/>
      <c r="E18" s="1"/>
      <c r="F18" s="1" t="b">
        <f>IF(C18&lt;=40,TRUE,FALSE)</f>
        <v>0</v>
      </c>
      <c r="G18" s="1"/>
      <c r="H18" s="1"/>
      <c r="O18" s="5" t="s">
        <v>274</v>
      </c>
      <c r="P18" s="36">
        <v>354</v>
      </c>
      <c r="Q18" s="1" t="str">
        <f t="shared" si="0"/>
        <v>no</v>
      </c>
    </row>
    <row r="19" spans="3:22" x14ac:dyDescent="0.35">
      <c r="C19" s="1"/>
      <c r="D19" s="1"/>
      <c r="E19" s="1"/>
      <c r="F19" s="1"/>
      <c r="G19" s="1"/>
      <c r="H19" s="1"/>
      <c r="J19" s="125" t="s">
        <v>43</v>
      </c>
      <c r="K19" s="125"/>
      <c r="L19" s="125"/>
    </row>
    <row r="20" spans="3:22" x14ac:dyDescent="0.35">
      <c r="C20" s="1"/>
      <c r="D20" s="1"/>
      <c r="E20" s="1"/>
      <c r="F20" s="1"/>
      <c r="G20" s="1"/>
      <c r="H20" s="1"/>
      <c r="J20" s="125" t="s">
        <v>44</v>
      </c>
      <c r="K20" s="125"/>
      <c r="L20" s="125"/>
      <c r="P20" s="37"/>
    </row>
    <row r="21" spans="3:22" x14ac:dyDescent="0.35">
      <c r="C21" s="8" t="s">
        <v>40</v>
      </c>
      <c r="D21" s="1"/>
      <c r="E21" s="1"/>
      <c r="F21" s="1" t="str">
        <f>IF(C21="Grapes","Correct","Not correct")</f>
        <v>Not correct</v>
      </c>
      <c r="G21" s="1"/>
      <c r="H21" s="1"/>
      <c r="P21" s="37"/>
    </row>
    <row r="22" spans="3:22" x14ac:dyDescent="0.35">
      <c r="C22" s="8" t="s">
        <v>41</v>
      </c>
      <c r="D22" s="1"/>
      <c r="E22" s="1"/>
      <c r="F22" s="1" t="str">
        <f>IF(C22="Grapes","Correct","Not correct")</f>
        <v>Not correct</v>
      </c>
      <c r="G22" s="1"/>
      <c r="H22" s="1"/>
      <c r="P22" s="37"/>
    </row>
    <row r="23" spans="3:22" x14ac:dyDescent="0.35">
      <c r="C23" s="8" t="s">
        <v>42</v>
      </c>
      <c r="D23" s="1"/>
      <c r="E23" s="1"/>
      <c r="F23" s="1" t="str">
        <f>IF(C23="Grapes","Correct","Not correct")</f>
        <v>Correct</v>
      </c>
      <c r="G23" s="1"/>
      <c r="H23" s="1"/>
      <c r="P23" s="37"/>
    </row>
    <row r="24" spans="3:22" x14ac:dyDescent="0.35">
      <c r="C24" s="1"/>
      <c r="D24" s="1"/>
      <c r="E24" s="1"/>
      <c r="F24" s="1"/>
      <c r="G24" s="1"/>
      <c r="H24" s="1"/>
      <c r="P24" s="37"/>
    </row>
    <row r="25" spans="3:22" x14ac:dyDescent="0.35">
      <c r="C25" s="7" t="s">
        <v>40</v>
      </c>
      <c r="D25" s="1"/>
      <c r="E25" s="1"/>
      <c r="F25" s="1" t="str">
        <f>IF(C25="GRAPES","Correct","Not correct")</f>
        <v>Not correct</v>
      </c>
      <c r="G25" s="1"/>
      <c r="H25" s="1"/>
      <c r="P25" s="37"/>
    </row>
    <row r="26" spans="3:22" x14ac:dyDescent="0.35">
      <c r="C26" s="7" t="s">
        <v>41</v>
      </c>
      <c r="F26" s="1" t="str">
        <f t="shared" ref="F26:F27" si="2">IF(C26="GRAPES","Correct","Not correct")</f>
        <v>Not correct</v>
      </c>
      <c r="P26" s="37"/>
    </row>
    <row r="27" spans="3:22" x14ac:dyDescent="0.35">
      <c r="C27" s="7" t="s">
        <v>42</v>
      </c>
      <c r="F27" s="1" t="str">
        <f t="shared" si="2"/>
        <v>Correct</v>
      </c>
      <c r="P27" s="37"/>
    </row>
    <row r="28" spans="3:22" x14ac:dyDescent="0.35">
      <c r="C28" s="1"/>
      <c r="F28" s="1"/>
      <c r="G28" s="1"/>
      <c r="P28" s="37"/>
    </row>
    <row r="29" spans="3:22" x14ac:dyDescent="0.35">
      <c r="F29" s="1"/>
      <c r="G29" s="1"/>
      <c r="P29" s="37"/>
    </row>
    <row r="30" spans="3:22" x14ac:dyDescent="0.35">
      <c r="C30" s="7" t="s">
        <v>40</v>
      </c>
      <c r="D30" s="1" t="str">
        <f>IF($C30="Grapes","Correct","Not correct")</f>
        <v>Not correct</v>
      </c>
      <c r="F30" s="1"/>
      <c r="G30" s="1"/>
      <c r="P30" s="37"/>
    </row>
    <row r="31" spans="3:22" x14ac:dyDescent="0.35">
      <c r="C31" s="7" t="s">
        <v>41</v>
      </c>
      <c r="D31" s="1" t="str">
        <f t="shared" ref="D31:D40" si="3">IF($C31="Grapes","Correct","Not correct")</f>
        <v>Not correct</v>
      </c>
      <c r="F31" s="1"/>
      <c r="G31" s="1"/>
      <c r="P31" s="37"/>
    </row>
    <row r="32" spans="3:22" x14ac:dyDescent="0.35">
      <c r="C32" s="7" t="s">
        <v>40</v>
      </c>
      <c r="D32" s="1" t="str">
        <f t="shared" si="3"/>
        <v>Not correct</v>
      </c>
      <c r="F32" s="1"/>
      <c r="G32" s="1"/>
      <c r="P32" s="37"/>
    </row>
    <row r="33" spans="3:16" x14ac:dyDescent="0.35">
      <c r="C33" s="7" t="s">
        <v>42</v>
      </c>
      <c r="D33" s="1" t="str">
        <f t="shared" si="3"/>
        <v>Correct</v>
      </c>
      <c r="F33" s="1"/>
      <c r="P33" s="37"/>
    </row>
    <row r="34" spans="3:16" x14ac:dyDescent="0.35">
      <c r="C34" s="7" t="s">
        <v>82</v>
      </c>
      <c r="D34" s="1" t="str">
        <f t="shared" si="3"/>
        <v>Not correct</v>
      </c>
      <c r="F34" s="1"/>
    </row>
    <row r="35" spans="3:16" x14ac:dyDescent="0.35">
      <c r="C35" s="7" t="s">
        <v>83</v>
      </c>
      <c r="D35" s="1" t="str">
        <f t="shared" si="3"/>
        <v>Not correct</v>
      </c>
      <c r="F35" s="1"/>
    </row>
    <row r="36" spans="3:16" x14ac:dyDescent="0.35">
      <c r="C36" s="7" t="s">
        <v>84</v>
      </c>
      <c r="D36" s="1" t="str">
        <f t="shared" si="3"/>
        <v>Not correct</v>
      </c>
      <c r="F36" s="1"/>
    </row>
    <row r="37" spans="3:16" x14ac:dyDescent="0.35">
      <c r="C37" s="7" t="s">
        <v>42</v>
      </c>
      <c r="D37" s="1" t="str">
        <f t="shared" si="3"/>
        <v>Correct</v>
      </c>
      <c r="F37" s="1"/>
    </row>
    <row r="38" spans="3:16" x14ac:dyDescent="0.35">
      <c r="C38" s="7" t="s">
        <v>42</v>
      </c>
      <c r="D38" s="1" t="str">
        <f t="shared" si="3"/>
        <v>Correct</v>
      </c>
      <c r="F38" s="1"/>
    </row>
    <row r="39" spans="3:16" x14ac:dyDescent="0.35">
      <c r="C39" s="7" t="s">
        <v>85</v>
      </c>
      <c r="D39" s="1" t="str">
        <f t="shared" si="3"/>
        <v>Not correct</v>
      </c>
      <c r="F39" s="1"/>
    </row>
    <row r="40" spans="3:16" x14ac:dyDescent="0.35">
      <c r="C40" s="7" t="s">
        <v>40</v>
      </c>
      <c r="D40" s="1" t="str">
        <f t="shared" si="3"/>
        <v>Not correct</v>
      </c>
      <c r="F40" s="1"/>
    </row>
  </sheetData>
  <mergeCells count="12">
    <mergeCell ref="O6:Q6"/>
    <mergeCell ref="C3:K3"/>
    <mergeCell ref="J20:L20"/>
    <mergeCell ref="J13:L13"/>
    <mergeCell ref="J7:L7"/>
    <mergeCell ref="J10:L10"/>
    <mergeCell ref="J16:L16"/>
    <mergeCell ref="J19:L19"/>
    <mergeCell ref="J8:L8"/>
    <mergeCell ref="J11:L11"/>
    <mergeCell ref="J14:L14"/>
    <mergeCell ref="J17:L17"/>
  </mergeCells>
  <conditionalFormatting sqref="V9:V17">
    <cfRule type="cellIs" dxfId="86" priority="1" operator="equal">
      <formula>"Above"</formula>
    </cfRule>
  </conditionalFormatting>
  <pageMargins left="0.7" right="0.7" top="0.75" bottom="0.75" header="0.3" footer="0.3"/>
  <pageSetup paperSize="9" orientation="portrait" horizont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3667E-1337-404C-9F01-12794CB2815F}">
  <sheetPr>
    <tabColor rgb="FFA86ED4"/>
  </sheetPr>
  <dimension ref="C1:U71"/>
  <sheetViews>
    <sheetView topLeftCell="B40" zoomScale="74" zoomScaleNormal="74" workbookViewId="0">
      <selection activeCell="Q71" sqref="Q71:R71"/>
    </sheetView>
  </sheetViews>
  <sheetFormatPr defaultRowHeight="14.5" x14ac:dyDescent="0.35"/>
  <cols>
    <col min="1" max="1" width="0" hidden="1" customWidth="1"/>
    <col min="3" max="3" width="11.6328125" customWidth="1"/>
    <col min="4" max="4" width="11" style="1" customWidth="1"/>
    <col min="5" max="5" width="12.1796875" customWidth="1"/>
    <col min="6" max="6" width="12.26953125" customWidth="1"/>
    <col min="7" max="7" width="10.54296875" style="1" bestFit="1" customWidth="1"/>
    <col min="9" max="9" width="14.26953125" customWidth="1"/>
    <col min="10" max="10" width="11.90625" customWidth="1"/>
    <col min="12" max="13" width="12.26953125" bestFit="1" customWidth="1"/>
    <col min="14" max="14" width="13.26953125" hidden="1" customWidth="1"/>
    <col min="15" max="15" width="9.08984375" hidden="1" customWidth="1"/>
    <col min="16" max="16" width="10.54296875" customWidth="1"/>
    <col min="17" max="17" width="10.6328125" customWidth="1"/>
    <col min="18" max="18" width="10.08984375" customWidth="1"/>
    <col min="20" max="20" width="16.54296875" style="1" customWidth="1"/>
  </cols>
  <sheetData>
    <row r="1" spans="3:20" ht="23.5" customHeight="1" x14ac:dyDescent="0.35"/>
    <row r="2" spans="3:20" s="93" customFormat="1" ht="16" customHeight="1" x14ac:dyDescent="0.35">
      <c r="D2" s="29"/>
      <c r="G2" s="29"/>
      <c r="I2"/>
      <c r="J2"/>
      <c r="L2" s="130" t="s">
        <v>432</v>
      </c>
      <c r="M2" s="130"/>
      <c r="N2" s="130"/>
      <c r="O2" s="130"/>
      <c r="T2" s="29"/>
    </row>
    <row r="3" spans="3:20" x14ac:dyDescent="0.35">
      <c r="C3" s="50"/>
      <c r="D3" s="100" t="s">
        <v>324</v>
      </c>
      <c r="F3" s="50"/>
      <c r="G3" s="100" t="s">
        <v>430</v>
      </c>
      <c r="I3" s="101" t="s">
        <v>345</v>
      </c>
      <c r="J3" s="101" t="s">
        <v>346</v>
      </c>
      <c r="L3" s="101" t="s">
        <v>343</v>
      </c>
      <c r="M3" s="101" t="s">
        <v>344</v>
      </c>
      <c r="N3" s="131" t="s">
        <v>351</v>
      </c>
      <c r="O3" s="132"/>
    </row>
    <row r="4" spans="3:20" x14ac:dyDescent="0.35">
      <c r="C4" s="51"/>
      <c r="D4" s="52"/>
      <c r="F4" s="51"/>
      <c r="G4" s="52"/>
      <c r="I4" s="1">
        <v>345</v>
      </c>
      <c r="J4" s="1">
        <v>345</v>
      </c>
      <c r="L4" s="1">
        <v>345</v>
      </c>
      <c r="M4" s="1">
        <v>345</v>
      </c>
      <c r="N4" s="1">
        <v>345</v>
      </c>
      <c r="O4" s="1">
        <v>345</v>
      </c>
    </row>
    <row r="5" spans="3:20" x14ac:dyDescent="0.35">
      <c r="C5" s="51"/>
      <c r="D5" s="53">
        <v>345</v>
      </c>
      <c r="F5" s="51"/>
      <c r="G5" s="52">
        <v>35</v>
      </c>
      <c r="I5" s="1">
        <v>876</v>
      </c>
      <c r="J5" s="1">
        <v>876</v>
      </c>
      <c r="L5" s="1">
        <v>876</v>
      </c>
      <c r="M5" s="1">
        <v>876</v>
      </c>
      <c r="N5" s="1">
        <v>876</v>
      </c>
      <c r="O5" s="1">
        <v>876</v>
      </c>
    </row>
    <row r="6" spans="3:20" x14ac:dyDescent="0.35">
      <c r="C6" s="51"/>
      <c r="D6" s="53">
        <v>356</v>
      </c>
      <c r="F6" s="51"/>
      <c r="G6" s="52">
        <v>76</v>
      </c>
      <c r="I6" s="1">
        <v>35</v>
      </c>
      <c r="J6" s="1">
        <v>35</v>
      </c>
      <c r="L6" s="1">
        <v>35</v>
      </c>
      <c r="M6" s="1" t="b">
        <v>1</v>
      </c>
      <c r="N6" s="1">
        <v>0</v>
      </c>
      <c r="O6" s="1" t="b">
        <v>0</v>
      </c>
    </row>
    <row r="7" spans="3:20" x14ac:dyDescent="0.35">
      <c r="C7" s="51"/>
      <c r="D7" s="53">
        <v>786</v>
      </c>
      <c r="F7" s="51"/>
      <c r="G7" s="52">
        <v>84</v>
      </c>
      <c r="I7" s="1">
        <v>900</v>
      </c>
      <c r="J7" s="1">
        <v>900</v>
      </c>
      <c r="L7" s="1">
        <v>900</v>
      </c>
      <c r="M7" s="1">
        <v>900</v>
      </c>
      <c r="N7" s="1">
        <v>900</v>
      </c>
      <c r="O7" s="1">
        <v>900</v>
      </c>
    </row>
    <row r="8" spans="3:20" x14ac:dyDescent="0.35">
      <c r="C8" s="51"/>
      <c r="D8" s="53">
        <v>358</v>
      </c>
      <c r="F8" s="51"/>
      <c r="G8" s="52">
        <v>65</v>
      </c>
      <c r="I8" s="1">
        <v>907</v>
      </c>
      <c r="J8" s="1">
        <v>907</v>
      </c>
      <c r="L8" s="1">
        <v>907</v>
      </c>
      <c r="M8" s="1">
        <v>907</v>
      </c>
      <c r="N8" s="1">
        <v>907</v>
      </c>
      <c r="O8" s="1">
        <v>907</v>
      </c>
    </row>
    <row r="9" spans="3:20" x14ac:dyDescent="0.35">
      <c r="C9" s="51"/>
      <c r="D9" s="53">
        <v>956</v>
      </c>
      <c r="F9" s="51"/>
      <c r="G9" s="52">
        <v>28</v>
      </c>
      <c r="I9" s="1">
        <v>21</v>
      </c>
      <c r="J9" s="1">
        <v>21</v>
      </c>
      <c r="L9" s="1">
        <v>21</v>
      </c>
      <c r="M9" s="1">
        <v>21</v>
      </c>
      <c r="N9" s="1">
        <v>21</v>
      </c>
      <c r="O9" s="1">
        <v>21</v>
      </c>
    </row>
    <row r="10" spans="3:20" x14ac:dyDescent="0.35">
      <c r="C10" s="51"/>
      <c r="D10" s="53">
        <v>576</v>
      </c>
      <c r="F10" s="51"/>
      <c r="G10" s="52"/>
      <c r="I10" s="76">
        <f>SUMIF(I4:I9,"&gt;=345")</f>
        <v>3028</v>
      </c>
      <c r="J10" s="76">
        <f>AVERAGEIF(J4:J9,"&gt;=345")</f>
        <v>757</v>
      </c>
      <c r="L10" s="76">
        <f>MAXA(L4:L9)</f>
        <v>907</v>
      </c>
      <c r="M10" s="76">
        <f>MINA(M4:M9)</f>
        <v>1</v>
      </c>
      <c r="N10" s="76">
        <f>AVERAGEA(N4:N9)</f>
        <v>508.16666666666669</v>
      </c>
      <c r="O10" s="76">
        <f>AVERAGEA(O4:O9)</f>
        <v>508.16666666666669</v>
      </c>
    </row>
    <row r="11" spans="3:20" x14ac:dyDescent="0.35">
      <c r="C11" s="51"/>
      <c r="D11" s="53">
        <v>335</v>
      </c>
      <c r="F11" s="51"/>
      <c r="G11" s="52">
        <v>40</v>
      </c>
    </row>
    <row r="12" spans="3:20" x14ac:dyDescent="0.35">
      <c r="C12" s="51"/>
      <c r="D12" s="53">
        <v>253</v>
      </c>
      <c r="F12" s="51"/>
      <c r="G12" s="52" t="s">
        <v>491</v>
      </c>
      <c r="I12" s="101" t="s">
        <v>431</v>
      </c>
      <c r="J12" s="101" t="s">
        <v>431</v>
      </c>
      <c r="L12" s="101" t="s">
        <v>431</v>
      </c>
      <c r="M12" s="101" t="s">
        <v>431</v>
      </c>
      <c r="N12" s="101" t="s">
        <v>431</v>
      </c>
      <c r="O12" s="101" t="s">
        <v>431</v>
      </c>
    </row>
    <row r="13" spans="3:20" x14ac:dyDescent="0.35">
      <c r="C13" s="51"/>
      <c r="D13" s="53">
        <v>545</v>
      </c>
      <c r="F13" s="51"/>
      <c r="G13" s="52">
        <v>87</v>
      </c>
      <c r="I13" s="76">
        <f>SUMIF(I4:I9,"&gt;=345")</f>
        <v>3028</v>
      </c>
      <c r="J13" s="76">
        <f>AVERAGEIF(J4:J9,"&gt;=345")</f>
        <v>757</v>
      </c>
      <c r="L13" s="76">
        <v>907</v>
      </c>
      <c r="M13" s="76">
        <v>21</v>
      </c>
      <c r="N13" s="76">
        <v>514</v>
      </c>
      <c r="O13" s="76">
        <v>514</v>
      </c>
    </row>
    <row r="14" spans="3:20" x14ac:dyDescent="0.35">
      <c r="C14" s="51"/>
      <c r="D14" s="53">
        <v>387</v>
      </c>
      <c r="F14" s="51"/>
      <c r="G14" s="52">
        <v>39</v>
      </c>
    </row>
    <row r="15" spans="3:20" x14ac:dyDescent="0.35">
      <c r="C15" s="51"/>
      <c r="D15" s="53">
        <v>353</v>
      </c>
      <c r="F15" s="51"/>
      <c r="G15" s="52">
        <v>84</v>
      </c>
      <c r="L15" s="139" t="s">
        <v>432</v>
      </c>
      <c r="M15" s="140"/>
    </row>
    <row r="16" spans="3:20" x14ac:dyDescent="0.35">
      <c r="C16" s="51"/>
      <c r="D16" s="53">
        <v>553</v>
      </c>
      <c r="F16" s="51"/>
      <c r="G16" s="52"/>
      <c r="L16" s="101" t="s">
        <v>343</v>
      </c>
      <c r="M16" s="101" t="s">
        <v>343</v>
      </c>
    </row>
    <row r="17" spans="3:15" x14ac:dyDescent="0.35">
      <c r="C17" s="51"/>
      <c r="D17" s="53">
        <v>386</v>
      </c>
      <c r="F17" s="51"/>
      <c r="G17" s="52">
        <v>22</v>
      </c>
      <c r="L17" s="1">
        <v>0.2</v>
      </c>
      <c r="M17" s="1">
        <v>54</v>
      </c>
    </row>
    <row r="18" spans="3:15" x14ac:dyDescent="0.35">
      <c r="C18" s="51"/>
      <c r="D18" s="53">
        <v>484</v>
      </c>
      <c r="F18" s="51"/>
      <c r="G18" s="52">
        <v>35</v>
      </c>
      <c r="L18" s="1">
        <v>0.31</v>
      </c>
      <c r="M18" s="1">
        <v>16</v>
      </c>
    </row>
    <row r="19" spans="3:15" x14ac:dyDescent="0.35">
      <c r="C19" s="51"/>
      <c r="D19" s="53">
        <v>263</v>
      </c>
      <c r="F19" s="51"/>
      <c r="G19" s="52">
        <v>36</v>
      </c>
      <c r="K19" s="1"/>
      <c r="L19" s="1">
        <v>0.65</v>
      </c>
      <c r="M19" s="1">
        <v>9</v>
      </c>
    </row>
    <row r="20" spans="3:15" x14ac:dyDescent="0.35">
      <c r="C20" s="51"/>
      <c r="D20" s="53">
        <v>32</v>
      </c>
      <c r="F20" s="51"/>
      <c r="G20" s="52">
        <v>65</v>
      </c>
      <c r="K20" s="1"/>
      <c r="L20" t="b">
        <v>1</v>
      </c>
      <c r="M20" s="1" t="b">
        <v>1</v>
      </c>
    </row>
    <row r="21" spans="3:15" x14ac:dyDescent="0.35">
      <c r="C21" s="51"/>
      <c r="D21" s="53"/>
      <c r="F21" s="51"/>
      <c r="G21" s="52"/>
      <c r="K21" s="1"/>
      <c r="L21" s="76">
        <f>MAXA(L17:L20)</f>
        <v>1</v>
      </c>
      <c r="M21" s="76">
        <f>MAXA(M17:M20)</f>
        <v>54</v>
      </c>
      <c r="N21" s="1"/>
    </row>
    <row r="22" spans="3:15" x14ac:dyDescent="0.35">
      <c r="C22" s="54" t="s">
        <v>325</v>
      </c>
      <c r="D22" s="53">
        <f>SUM(D5:D20)</f>
        <v>6968</v>
      </c>
      <c r="F22" s="54" t="s">
        <v>328</v>
      </c>
      <c r="G22" s="52">
        <f>COUNT(G5:G20)</f>
        <v>13</v>
      </c>
      <c r="K22" s="1"/>
      <c r="N22" s="1"/>
    </row>
    <row r="23" spans="3:15" x14ac:dyDescent="0.35">
      <c r="C23" s="54" t="s">
        <v>14</v>
      </c>
      <c r="D23" s="53">
        <f>AVERAGE(D5:D20)</f>
        <v>435.5</v>
      </c>
      <c r="F23" s="54" t="s">
        <v>329</v>
      </c>
      <c r="G23" s="52">
        <f>COUNTA(G5:G20)</f>
        <v>14</v>
      </c>
      <c r="K23" s="1"/>
      <c r="L23" s="101" t="s">
        <v>344</v>
      </c>
      <c r="M23" s="101" t="s">
        <v>344</v>
      </c>
      <c r="N23" s="1"/>
    </row>
    <row r="24" spans="3:15" x14ac:dyDescent="0.35">
      <c r="C24" s="54" t="s">
        <v>326</v>
      </c>
      <c r="D24" s="53">
        <f>MAX(D5:D20)</f>
        <v>956</v>
      </c>
      <c r="F24" s="54" t="s">
        <v>330</v>
      </c>
      <c r="G24" s="52">
        <f>COUNTIF(G5:G20,"&gt;=35")</f>
        <v>11</v>
      </c>
      <c r="K24" s="1"/>
      <c r="L24" s="1">
        <v>0.2</v>
      </c>
      <c r="M24" s="1">
        <v>54</v>
      </c>
    </row>
    <row r="25" spans="3:15" x14ac:dyDescent="0.35">
      <c r="C25" s="55" t="s">
        <v>327</v>
      </c>
      <c r="D25" s="56">
        <f>MIN(D5:D20)</f>
        <v>32</v>
      </c>
      <c r="F25" s="55" t="s">
        <v>331</v>
      </c>
      <c r="G25" s="57">
        <f>COUNTBLANK(G5:G20)</f>
        <v>2</v>
      </c>
      <c r="K25" s="1"/>
      <c r="L25" s="1">
        <v>0.31</v>
      </c>
      <c r="M25" s="1">
        <v>16</v>
      </c>
      <c r="N25" s="1"/>
    </row>
    <row r="26" spans="3:15" x14ac:dyDescent="0.35">
      <c r="K26" s="1"/>
      <c r="L26" s="1">
        <v>0.65</v>
      </c>
      <c r="M26" s="1">
        <v>9</v>
      </c>
      <c r="N26" s="1"/>
    </row>
    <row r="27" spans="3:15" x14ac:dyDescent="0.35">
      <c r="D27" s="36"/>
      <c r="F27" s="102" t="s">
        <v>451</v>
      </c>
      <c r="G27" s="76">
        <f>COUNTIF(G5:G20,"Hello")</f>
        <v>1</v>
      </c>
      <c r="K27" s="1"/>
      <c r="L27" t="b">
        <v>1</v>
      </c>
      <c r="M27" s="1" t="b">
        <v>1</v>
      </c>
      <c r="N27" s="1"/>
      <c r="O27" s="1"/>
    </row>
    <row r="28" spans="3:15" x14ac:dyDescent="0.35">
      <c r="D28" s="36"/>
      <c r="G28"/>
      <c r="K28" s="1"/>
      <c r="L28" s="76">
        <f>MINA(L24:L27)</f>
        <v>0.2</v>
      </c>
      <c r="M28" s="76">
        <f>MINA(M24:M27)</f>
        <v>1</v>
      </c>
      <c r="N28" s="1"/>
    </row>
    <row r="29" spans="3:15" ht="15" thickBot="1" x14ac:dyDescent="0.4">
      <c r="K29" s="1"/>
      <c r="N29" s="1"/>
    </row>
    <row r="30" spans="3:15" ht="15" thickBot="1" x14ac:dyDescent="0.4">
      <c r="K30" s="1"/>
      <c r="L30" s="103" t="s">
        <v>433</v>
      </c>
      <c r="N30" s="1"/>
    </row>
    <row r="31" spans="3:15" ht="15" thickBot="1" x14ac:dyDescent="0.4">
      <c r="L31" s="103" t="s">
        <v>434</v>
      </c>
      <c r="N31" s="1"/>
    </row>
    <row r="33" spans="3:21" ht="26" customHeight="1" x14ac:dyDescent="0.35"/>
    <row r="34" spans="3:21" x14ac:dyDescent="0.35">
      <c r="P34" s="138" t="s">
        <v>439</v>
      </c>
      <c r="Q34" s="138"/>
      <c r="R34" s="138"/>
    </row>
    <row r="35" spans="3:21" x14ac:dyDescent="0.35">
      <c r="P35" s="138"/>
      <c r="Q35" s="138"/>
      <c r="R35" s="138"/>
    </row>
    <row r="36" spans="3:21" ht="18.5" customHeight="1" x14ac:dyDescent="0.35">
      <c r="K36" s="144" t="s">
        <v>378</v>
      </c>
      <c r="L36" s="145"/>
      <c r="M36" s="146"/>
      <c r="P36" s="141" t="s">
        <v>378</v>
      </c>
      <c r="Q36" s="142"/>
      <c r="R36" s="143"/>
    </row>
    <row r="37" spans="3:21" ht="18.5" customHeight="1" x14ac:dyDescent="0.35"/>
    <row r="38" spans="3:21" x14ac:dyDescent="0.35">
      <c r="K38" s="135" t="s">
        <v>436</v>
      </c>
      <c r="L38" s="136"/>
      <c r="M38" s="137"/>
      <c r="P38" s="135" t="s">
        <v>435</v>
      </c>
      <c r="Q38" s="136"/>
      <c r="R38" s="137"/>
    </row>
    <row r="40" spans="3:21" x14ac:dyDescent="0.35">
      <c r="K40" s="5" t="s">
        <v>289</v>
      </c>
      <c r="L40" s="133">
        <f>SUMIFS(I45:I63,D45:D63,D46)</f>
        <v>2536320</v>
      </c>
      <c r="M40" s="134"/>
      <c r="P40" s="5" t="s">
        <v>289</v>
      </c>
      <c r="Q40" s="133">
        <f>SUMIFS(I45:I63,D45:D63,D45)</f>
        <v>11224470</v>
      </c>
      <c r="R40" s="134"/>
      <c r="T40" s="147">
        <f>SUMIFS(I45:I63,D45:D63,D45)</f>
        <v>11224470</v>
      </c>
      <c r="U40" s="147"/>
    </row>
    <row r="41" spans="3:21" x14ac:dyDescent="0.35">
      <c r="C41" s="148" t="s">
        <v>444</v>
      </c>
      <c r="D41" s="148"/>
      <c r="E41" s="148"/>
      <c r="F41" s="148"/>
      <c r="G41" s="148"/>
      <c r="H41" s="148"/>
      <c r="I41" s="148"/>
      <c r="P41" s="1"/>
      <c r="Q41" s="1"/>
      <c r="R41" s="1"/>
    </row>
    <row r="42" spans="3:21" x14ac:dyDescent="0.35">
      <c r="C42" s="148"/>
      <c r="D42" s="148"/>
      <c r="E42" s="148"/>
      <c r="F42" s="148"/>
      <c r="G42" s="148"/>
      <c r="H42" s="148"/>
      <c r="I42" s="148"/>
      <c r="K42" s="135" t="s">
        <v>437</v>
      </c>
      <c r="L42" s="136"/>
      <c r="M42" s="137"/>
      <c r="P42" s="135" t="s">
        <v>441</v>
      </c>
      <c r="Q42" s="136"/>
      <c r="R42" s="137"/>
    </row>
    <row r="44" spans="3:21" x14ac:dyDescent="0.35">
      <c r="C44" s="5" t="s">
        <v>372</v>
      </c>
      <c r="D44" s="5" t="s">
        <v>377</v>
      </c>
      <c r="E44" s="5" t="s">
        <v>449</v>
      </c>
      <c r="F44" s="5" t="s">
        <v>275</v>
      </c>
      <c r="G44" s="5" t="s">
        <v>371</v>
      </c>
      <c r="H44" s="5" t="s">
        <v>368</v>
      </c>
      <c r="I44" s="5" t="s">
        <v>370</v>
      </c>
      <c r="K44" s="5" t="s">
        <v>289</v>
      </c>
      <c r="L44" s="133">
        <f>SUMIFS(I45:I63,D45:D63,D46,E45:E63,E46)</f>
        <v>2104440</v>
      </c>
      <c r="M44" s="134"/>
      <c r="P44" s="5" t="s">
        <v>289</v>
      </c>
      <c r="Q44" s="133">
        <f>SUMIFS(I45:I63,D45:D63,D49,E45:E63,E46)</f>
        <v>7179010</v>
      </c>
      <c r="R44" s="134"/>
      <c r="T44" s="147">
        <f>SUMIFS(I45:I63,D45:D63,D45,E45:E63,E45)</f>
        <v>7179010</v>
      </c>
      <c r="U44" s="147"/>
    </row>
    <row r="45" spans="3:21" x14ac:dyDescent="0.35">
      <c r="C45" s="1" t="s">
        <v>369</v>
      </c>
      <c r="D45" s="1" t="s">
        <v>373</v>
      </c>
      <c r="E45" s="1">
        <v>2022</v>
      </c>
      <c r="F45" s="1">
        <v>300</v>
      </c>
      <c r="G45" s="82">
        <v>27995</v>
      </c>
      <c r="H45" s="1">
        <v>34</v>
      </c>
      <c r="I45" s="82">
        <f>H45*G45</f>
        <v>951830</v>
      </c>
    </row>
    <row r="46" spans="3:21" x14ac:dyDescent="0.35">
      <c r="C46" s="1" t="s">
        <v>369</v>
      </c>
      <c r="D46" s="1" t="s">
        <v>374</v>
      </c>
      <c r="E46" s="1">
        <v>2022</v>
      </c>
      <c r="F46" s="1">
        <v>180</v>
      </c>
      <c r="G46" s="82">
        <v>18995</v>
      </c>
      <c r="H46" s="1">
        <v>56</v>
      </c>
      <c r="I46" s="82">
        <f t="shared" ref="I46:I63" si="0">H46*G46</f>
        <v>1063720</v>
      </c>
      <c r="K46" s="135" t="s">
        <v>438</v>
      </c>
      <c r="L46" s="136"/>
      <c r="M46" s="137"/>
      <c r="P46" s="135" t="s">
        <v>442</v>
      </c>
      <c r="Q46" s="136"/>
      <c r="R46" s="137"/>
    </row>
    <row r="47" spans="3:21" x14ac:dyDescent="0.35">
      <c r="C47" s="1" t="s">
        <v>369</v>
      </c>
      <c r="D47" s="1" t="s">
        <v>375</v>
      </c>
      <c r="E47" s="1">
        <v>2021</v>
      </c>
      <c r="F47" s="1">
        <v>500</v>
      </c>
      <c r="G47" s="82">
        <v>37495</v>
      </c>
      <c r="H47" s="1">
        <v>18</v>
      </c>
      <c r="I47" s="82">
        <f t="shared" si="0"/>
        <v>674910</v>
      </c>
    </row>
    <row r="48" spans="3:21" x14ac:dyDescent="0.35">
      <c r="C48" s="1" t="s">
        <v>369</v>
      </c>
      <c r="D48" s="1" t="s">
        <v>373</v>
      </c>
      <c r="E48" s="1">
        <v>2022</v>
      </c>
      <c r="F48" s="1">
        <v>250</v>
      </c>
      <c r="G48" s="82">
        <v>23495</v>
      </c>
      <c r="H48" s="1">
        <v>24</v>
      </c>
      <c r="I48" s="82">
        <f t="shared" si="0"/>
        <v>563880</v>
      </c>
      <c r="K48" s="5" t="s">
        <v>289</v>
      </c>
      <c r="L48" s="133">
        <f>SUMIFS(I45:I63,D45:D63,D46,E45:E63,E47)</f>
        <v>431880</v>
      </c>
      <c r="M48" s="134"/>
      <c r="P48" s="5" t="s">
        <v>289</v>
      </c>
      <c r="Q48" s="133">
        <f>SUMIFS(I45:I63,D45:D63,D47,E45:E63,E49)</f>
        <v>3759110</v>
      </c>
      <c r="R48" s="134"/>
      <c r="T48" s="147">
        <f>SUMIFS(I45:I63,D45:D63,D47,E45:E63,E47)</f>
        <v>3759110</v>
      </c>
      <c r="U48" s="147"/>
    </row>
    <row r="49" spans="3:21" x14ac:dyDescent="0.35">
      <c r="C49" s="1" t="s">
        <v>369</v>
      </c>
      <c r="D49" s="1" t="s">
        <v>373</v>
      </c>
      <c r="E49" s="1">
        <v>2021</v>
      </c>
      <c r="F49" s="1">
        <v>320</v>
      </c>
      <c r="G49" s="82">
        <v>26495</v>
      </c>
      <c r="H49" s="1">
        <v>76</v>
      </c>
      <c r="I49" s="82">
        <f t="shared" si="0"/>
        <v>2013620</v>
      </c>
    </row>
    <row r="50" spans="3:21" x14ac:dyDescent="0.35">
      <c r="C50" s="1" t="s">
        <v>369</v>
      </c>
      <c r="D50" s="1" t="s">
        <v>374</v>
      </c>
      <c r="E50" s="1">
        <v>2022</v>
      </c>
      <c r="F50" s="1">
        <v>250</v>
      </c>
      <c r="G50" s="82">
        <v>19495</v>
      </c>
      <c r="H50" s="1">
        <v>39</v>
      </c>
      <c r="I50" s="82">
        <f t="shared" si="0"/>
        <v>760305</v>
      </c>
      <c r="P50" s="138" t="s">
        <v>439</v>
      </c>
      <c r="Q50" s="138"/>
      <c r="R50" s="138"/>
    </row>
    <row r="51" spans="3:21" x14ac:dyDescent="0.35">
      <c r="C51" s="1" t="s">
        <v>369</v>
      </c>
      <c r="D51" s="1" t="s">
        <v>376</v>
      </c>
      <c r="E51" s="1">
        <v>2021</v>
      </c>
      <c r="F51" s="1">
        <v>600</v>
      </c>
      <c r="G51" s="82">
        <v>85995</v>
      </c>
      <c r="H51" s="1">
        <v>17</v>
      </c>
      <c r="I51" s="82">
        <f t="shared" si="0"/>
        <v>1461915</v>
      </c>
      <c r="P51" s="138"/>
      <c r="Q51" s="138"/>
      <c r="R51" s="138"/>
    </row>
    <row r="52" spans="3:21" x14ac:dyDescent="0.35">
      <c r="C52" s="1" t="s">
        <v>369</v>
      </c>
      <c r="D52" s="1" t="s">
        <v>373</v>
      </c>
      <c r="E52" s="1">
        <v>2021</v>
      </c>
      <c r="F52" s="1">
        <v>450</v>
      </c>
      <c r="G52" s="82">
        <v>63495</v>
      </c>
      <c r="H52" s="1">
        <v>32</v>
      </c>
      <c r="I52" s="82">
        <f t="shared" si="0"/>
        <v>2031840</v>
      </c>
      <c r="K52" s="144" t="s">
        <v>379</v>
      </c>
      <c r="L52" s="145"/>
      <c r="M52" s="146"/>
      <c r="P52" s="144" t="s">
        <v>379</v>
      </c>
      <c r="Q52" s="145"/>
      <c r="R52" s="146"/>
    </row>
    <row r="53" spans="3:21" x14ac:dyDescent="0.35">
      <c r="C53" s="1" t="s">
        <v>369</v>
      </c>
      <c r="D53" s="1" t="s">
        <v>373</v>
      </c>
      <c r="E53" s="1">
        <v>2022</v>
      </c>
      <c r="F53" s="1">
        <v>400</v>
      </c>
      <c r="G53" s="82">
        <v>59995</v>
      </c>
      <c r="H53" s="1">
        <v>64</v>
      </c>
      <c r="I53" s="82">
        <f t="shared" si="0"/>
        <v>3839680</v>
      </c>
    </row>
    <row r="54" spans="3:21" x14ac:dyDescent="0.35">
      <c r="C54" s="1" t="s">
        <v>369</v>
      </c>
      <c r="D54" s="1" t="s">
        <v>376</v>
      </c>
      <c r="E54" s="1">
        <v>2022</v>
      </c>
      <c r="F54" s="1">
        <v>320</v>
      </c>
      <c r="G54" s="82">
        <v>43495</v>
      </c>
      <c r="H54" s="1">
        <v>12</v>
      </c>
      <c r="I54" s="82">
        <f t="shared" si="0"/>
        <v>521940</v>
      </c>
      <c r="K54" s="135" t="s">
        <v>450</v>
      </c>
      <c r="L54" s="136"/>
      <c r="M54" s="137"/>
      <c r="P54" s="135" t="s">
        <v>435</v>
      </c>
      <c r="Q54" s="136"/>
      <c r="R54" s="137"/>
    </row>
    <row r="55" spans="3:21" x14ac:dyDescent="0.35">
      <c r="C55" s="1" t="s">
        <v>369</v>
      </c>
      <c r="D55" s="1" t="s">
        <v>376</v>
      </c>
      <c r="E55" s="1">
        <v>2022</v>
      </c>
      <c r="F55" s="1">
        <v>430</v>
      </c>
      <c r="G55" s="82">
        <v>61495</v>
      </c>
      <c r="H55" s="1">
        <v>43</v>
      </c>
      <c r="I55" s="82">
        <f t="shared" si="0"/>
        <v>2644285</v>
      </c>
      <c r="M55" s="82"/>
      <c r="R55" s="82"/>
    </row>
    <row r="56" spans="3:21" x14ac:dyDescent="0.35">
      <c r="C56" s="1" t="s">
        <v>369</v>
      </c>
      <c r="D56" s="1" t="s">
        <v>376</v>
      </c>
      <c r="E56" s="1">
        <v>2022</v>
      </c>
      <c r="F56" s="1">
        <v>350</v>
      </c>
      <c r="G56" s="82">
        <v>37495</v>
      </c>
      <c r="H56" s="1">
        <v>18</v>
      </c>
      <c r="I56" s="82">
        <f t="shared" si="0"/>
        <v>674910</v>
      </c>
      <c r="K56" s="5" t="s">
        <v>289</v>
      </c>
      <c r="L56" s="133">
        <f>AVERAGEIFS(I45:I63,D45:D63,D47)</f>
        <v>1691737.5</v>
      </c>
      <c r="M56" s="134"/>
      <c r="P56" s="5" t="s">
        <v>289</v>
      </c>
      <c r="Q56" s="133">
        <f>AVERAGEIFS(I45:I63,D45:D63,D45)</f>
        <v>1870745</v>
      </c>
      <c r="R56" s="134"/>
      <c r="T56" s="133">
        <f>AVERAGEIFS(I45:I63,D45:D63,D45)</f>
        <v>1870745</v>
      </c>
      <c r="U56" s="134"/>
    </row>
    <row r="57" spans="3:21" x14ac:dyDescent="0.35">
      <c r="C57" s="29" t="s">
        <v>369</v>
      </c>
      <c r="D57" s="29" t="s">
        <v>375</v>
      </c>
      <c r="E57" s="29">
        <v>2021</v>
      </c>
      <c r="F57" s="29">
        <v>300</v>
      </c>
      <c r="G57" s="90">
        <v>41495</v>
      </c>
      <c r="H57" s="29">
        <v>19</v>
      </c>
      <c r="I57" s="90">
        <f t="shared" si="0"/>
        <v>788405</v>
      </c>
    </row>
    <row r="58" spans="3:21" x14ac:dyDescent="0.35">
      <c r="C58" s="1" t="s">
        <v>369</v>
      </c>
      <c r="D58" s="1" t="s">
        <v>374</v>
      </c>
      <c r="E58" s="1">
        <v>2021</v>
      </c>
      <c r="F58" s="1">
        <v>160</v>
      </c>
      <c r="G58" s="82">
        <v>17995</v>
      </c>
      <c r="H58" s="1">
        <v>24</v>
      </c>
      <c r="I58" s="82">
        <f t="shared" si="0"/>
        <v>431880</v>
      </c>
      <c r="K58" s="144" t="s">
        <v>379</v>
      </c>
      <c r="L58" s="145"/>
      <c r="M58" s="146"/>
      <c r="P58" s="144" t="s">
        <v>379</v>
      </c>
      <c r="Q58" s="145"/>
      <c r="R58" s="146"/>
    </row>
    <row r="59" spans="3:21" x14ac:dyDescent="0.35">
      <c r="C59" s="1" t="s">
        <v>369</v>
      </c>
      <c r="D59" s="1" t="s">
        <v>373</v>
      </c>
      <c r="E59" s="1">
        <v>2022</v>
      </c>
      <c r="F59" s="1">
        <v>200</v>
      </c>
      <c r="G59" s="82">
        <v>23995</v>
      </c>
      <c r="H59" s="1">
        <v>76</v>
      </c>
      <c r="I59" s="82">
        <f t="shared" si="0"/>
        <v>1823620</v>
      </c>
      <c r="K59" s="135" t="s">
        <v>445</v>
      </c>
      <c r="L59" s="136"/>
      <c r="M59" s="137"/>
      <c r="P59" s="135" t="s">
        <v>442</v>
      </c>
      <c r="Q59" s="136"/>
      <c r="R59" s="137"/>
    </row>
    <row r="60" spans="3:21" x14ac:dyDescent="0.35">
      <c r="C60" s="1" t="s">
        <v>369</v>
      </c>
      <c r="D60" s="1" t="s">
        <v>376</v>
      </c>
      <c r="E60" s="1">
        <v>2022</v>
      </c>
      <c r="F60" s="1">
        <v>280</v>
      </c>
      <c r="G60" s="82">
        <v>49495</v>
      </c>
      <c r="H60" s="1">
        <v>39</v>
      </c>
      <c r="I60" s="82">
        <f t="shared" si="0"/>
        <v>1930305</v>
      </c>
      <c r="M60" s="82"/>
      <c r="R60" s="82"/>
    </row>
    <row r="61" spans="3:21" x14ac:dyDescent="0.35">
      <c r="C61" s="1" t="s">
        <v>369</v>
      </c>
      <c r="D61" s="1" t="s">
        <v>374</v>
      </c>
      <c r="E61" s="1">
        <v>2022</v>
      </c>
      <c r="F61" s="1">
        <v>190</v>
      </c>
      <c r="G61" s="82">
        <v>16495</v>
      </c>
      <c r="H61" s="1">
        <v>17</v>
      </c>
      <c r="I61" s="82">
        <f t="shared" si="0"/>
        <v>280415</v>
      </c>
      <c r="K61" s="5" t="s">
        <v>289</v>
      </c>
      <c r="L61" s="133">
        <f>AVERAGEIFS(I45:I63,D45:D63,D54,E45:E63,E45)</f>
        <v>1442860</v>
      </c>
      <c r="M61" s="134"/>
      <c r="P61" s="5" t="s">
        <v>289</v>
      </c>
      <c r="Q61" s="133">
        <f>AVERAGEIFS(I45:I63,D45:D63,D47,E45:E63,E47)</f>
        <v>1253036.6666666667</v>
      </c>
      <c r="R61" s="134"/>
      <c r="T61" s="133">
        <f>AVERAGEIFS(I45:I63,D45:D63,D47,E45:E63,E47)</f>
        <v>1253036.6666666667</v>
      </c>
      <c r="U61" s="134"/>
    </row>
    <row r="62" spans="3:21" x14ac:dyDescent="0.35">
      <c r="C62" s="1" t="s">
        <v>369</v>
      </c>
      <c r="D62" s="1" t="s">
        <v>375</v>
      </c>
      <c r="E62" s="1">
        <v>2022</v>
      </c>
      <c r="F62" s="1">
        <v>600</v>
      </c>
      <c r="G62" s="82">
        <v>93995</v>
      </c>
      <c r="H62" s="1">
        <v>32</v>
      </c>
      <c r="I62" s="82">
        <f t="shared" si="0"/>
        <v>3007840</v>
      </c>
    </row>
    <row r="63" spans="3:21" x14ac:dyDescent="0.35">
      <c r="C63" s="1" t="s">
        <v>369</v>
      </c>
      <c r="D63" s="1" t="s">
        <v>375</v>
      </c>
      <c r="E63" s="1">
        <v>2021</v>
      </c>
      <c r="F63" s="1">
        <v>430</v>
      </c>
      <c r="G63" s="82">
        <v>55995</v>
      </c>
      <c r="H63" s="1">
        <v>41</v>
      </c>
      <c r="I63" s="82">
        <f t="shared" si="0"/>
        <v>2295795</v>
      </c>
      <c r="K63" s="144" t="s">
        <v>440</v>
      </c>
      <c r="L63" s="145"/>
      <c r="M63" s="146"/>
      <c r="P63" s="144" t="s">
        <v>440</v>
      </c>
      <c r="Q63" s="145"/>
      <c r="R63" s="146"/>
    </row>
    <row r="64" spans="3:21" x14ac:dyDescent="0.35">
      <c r="K64" s="135" t="s">
        <v>443</v>
      </c>
      <c r="L64" s="136"/>
      <c r="M64" s="137"/>
      <c r="P64" s="135" t="s">
        <v>447</v>
      </c>
      <c r="Q64" s="136"/>
      <c r="R64" s="137"/>
    </row>
    <row r="65" spans="11:21" x14ac:dyDescent="0.35">
      <c r="M65" s="82"/>
      <c r="R65" s="82"/>
    </row>
    <row r="66" spans="11:21" x14ac:dyDescent="0.35">
      <c r="K66" s="5" t="s">
        <v>289</v>
      </c>
      <c r="L66" s="149">
        <f>COUNTIFS(D45:D63,D50,E45:E63,E46)</f>
        <v>3</v>
      </c>
      <c r="M66" s="150"/>
      <c r="P66" s="5" t="s">
        <v>289</v>
      </c>
      <c r="Q66" s="149">
        <f>COUNTIFS(D45:D63,D51,E45:E63,E51)</f>
        <v>1</v>
      </c>
      <c r="R66" s="150"/>
      <c r="T66" s="149">
        <f>COUNTIFS(D45:D63,D51,E45:E63,E51)</f>
        <v>1</v>
      </c>
      <c r="U66" s="150"/>
    </row>
    <row r="68" spans="11:21" x14ac:dyDescent="0.35">
      <c r="K68" s="144" t="s">
        <v>440</v>
      </c>
      <c r="L68" s="145"/>
      <c r="M68" s="146"/>
      <c r="P68" s="144" t="s">
        <v>440</v>
      </c>
      <c r="Q68" s="145"/>
      <c r="R68" s="146"/>
    </row>
    <row r="69" spans="11:21" x14ac:dyDescent="0.35">
      <c r="K69" s="135" t="s">
        <v>446</v>
      </c>
      <c r="L69" s="136"/>
      <c r="M69" s="137"/>
      <c r="P69" s="135" t="s">
        <v>448</v>
      </c>
      <c r="Q69" s="136"/>
      <c r="R69" s="137"/>
    </row>
    <row r="70" spans="11:21" x14ac:dyDescent="0.35">
      <c r="M70" s="82"/>
      <c r="R70" s="82"/>
    </row>
    <row r="71" spans="11:21" x14ac:dyDescent="0.35">
      <c r="K71" s="5" t="s">
        <v>289</v>
      </c>
      <c r="L71" s="149">
        <f>COUNTIFS(D45:D63,D53,E45:E63,E51)</f>
        <v>2</v>
      </c>
      <c r="M71" s="150"/>
      <c r="P71" s="5" t="s">
        <v>289</v>
      </c>
      <c r="Q71" s="149">
        <f>COUNTIFS(D45:D63,D50,E45:E63,E56)</f>
        <v>3</v>
      </c>
      <c r="R71" s="150"/>
      <c r="T71" s="149">
        <f>COUNTIFS(D45:D63,D46,E45:E63,E46)</f>
        <v>3</v>
      </c>
      <c r="U71" s="150"/>
    </row>
  </sheetData>
  <mergeCells count="51">
    <mergeCell ref="T56:U56"/>
    <mergeCell ref="T61:U61"/>
    <mergeCell ref="T66:U66"/>
    <mergeCell ref="T71:U71"/>
    <mergeCell ref="Q66:R66"/>
    <mergeCell ref="P64:R64"/>
    <mergeCell ref="P69:R69"/>
    <mergeCell ref="Q71:R71"/>
    <mergeCell ref="P63:R63"/>
    <mergeCell ref="P68:R68"/>
    <mergeCell ref="P59:R59"/>
    <mergeCell ref="Q61:R61"/>
    <mergeCell ref="P58:R58"/>
    <mergeCell ref="Q56:R56"/>
    <mergeCell ref="L71:M71"/>
    <mergeCell ref="K68:M68"/>
    <mergeCell ref="L66:M66"/>
    <mergeCell ref="K63:M63"/>
    <mergeCell ref="L56:M56"/>
    <mergeCell ref="L61:M61"/>
    <mergeCell ref="K58:M58"/>
    <mergeCell ref="K59:M59"/>
    <mergeCell ref="K64:M64"/>
    <mergeCell ref="K69:M69"/>
    <mergeCell ref="C41:I42"/>
    <mergeCell ref="P38:R38"/>
    <mergeCell ref="Q40:R40"/>
    <mergeCell ref="K38:M38"/>
    <mergeCell ref="L40:M40"/>
    <mergeCell ref="K42:M42"/>
    <mergeCell ref="T44:U44"/>
    <mergeCell ref="T48:U48"/>
    <mergeCell ref="T40:U40"/>
    <mergeCell ref="P42:R42"/>
    <mergeCell ref="Q44:R44"/>
    <mergeCell ref="P46:R46"/>
    <mergeCell ref="Q48:R48"/>
    <mergeCell ref="L2:O2"/>
    <mergeCell ref="N3:O3"/>
    <mergeCell ref="L48:M48"/>
    <mergeCell ref="K54:M54"/>
    <mergeCell ref="P54:R54"/>
    <mergeCell ref="P34:R35"/>
    <mergeCell ref="P50:R51"/>
    <mergeCell ref="L15:M15"/>
    <mergeCell ref="P36:R36"/>
    <mergeCell ref="K36:M36"/>
    <mergeCell ref="P52:R52"/>
    <mergeCell ref="L44:M44"/>
    <mergeCell ref="K52:M52"/>
    <mergeCell ref="K46:M4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3:Q85"/>
  <sheetViews>
    <sheetView topLeftCell="B29" zoomScale="85" zoomScaleNormal="85" workbookViewId="0">
      <selection activeCell="J69" sqref="J69"/>
    </sheetView>
  </sheetViews>
  <sheetFormatPr defaultColWidth="12.7265625" defaultRowHeight="16" customHeight="1" x14ac:dyDescent="0.35"/>
  <cols>
    <col min="1" max="1" width="0" style="58" hidden="1" customWidth="1"/>
    <col min="2" max="4" width="12.7265625" style="58"/>
    <col min="5" max="5" width="13.1796875" style="58" customWidth="1"/>
    <col min="6" max="6" width="13.54296875" style="58" customWidth="1"/>
    <col min="7" max="7" width="20.26953125" style="58" bestFit="1" customWidth="1"/>
    <col min="8" max="8" width="16" style="58" bestFit="1" customWidth="1"/>
    <col min="9" max="9" width="19.7265625" style="58" bestFit="1" customWidth="1"/>
    <col min="10" max="10" width="14.1796875" style="58" customWidth="1"/>
    <col min="11" max="11" width="19.81640625" style="58" bestFit="1" customWidth="1"/>
    <col min="12" max="12" width="18.54296875" style="58" bestFit="1" customWidth="1"/>
    <col min="13" max="13" width="12.7265625" style="58"/>
    <col min="14" max="14" width="17.7265625" style="58" bestFit="1" customWidth="1"/>
    <col min="15" max="16384" width="12.7265625" style="58"/>
  </cols>
  <sheetData>
    <row r="3" spans="2:17" ht="20.149999999999999" customHeight="1" x14ac:dyDescent="0.35">
      <c r="C3" s="151" t="s">
        <v>415</v>
      </c>
      <c r="D3" s="152"/>
      <c r="E3" s="152"/>
      <c r="F3" s="152"/>
      <c r="G3" s="153"/>
      <c r="I3" s="151" t="s">
        <v>429</v>
      </c>
      <c r="J3" s="152"/>
      <c r="K3" s="152"/>
      <c r="L3" s="152"/>
      <c r="M3" s="59"/>
      <c r="P3" s="59"/>
      <c r="Q3" s="59"/>
    </row>
    <row r="4" spans="2:17" ht="16" customHeight="1" x14ac:dyDescent="0.35">
      <c r="C4" s="68"/>
      <c r="D4" s="68"/>
      <c r="E4" s="68"/>
      <c r="F4" s="68"/>
      <c r="G4" s="68"/>
    </row>
    <row r="5" spans="2:17" ht="16" customHeight="1" x14ac:dyDescent="0.35">
      <c r="B5" s="61"/>
      <c r="C5" s="69"/>
      <c r="D5" s="70"/>
      <c r="E5" s="70"/>
      <c r="F5" s="70"/>
      <c r="G5" s="71" t="s">
        <v>29</v>
      </c>
      <c r="H5" s="64"/>
      <c r="I5" s="66" t="s">
        <v>336</v>
      </c>
      <c r="J5" s="66" t="s">
        <v>332</v>
      </c>
      <c r="K5" s="66" t="s">
        <v>256</v>
      </c>
      <c r="L5" s="66" t="s">
        <v>340</v>
      </c>
    </row>
    <row r="6" spans="2:17" ht="15.75" customHeight="1" x14ac:dyDescent="0.35">
      <c r="B6" s="61"/>
      <c r="C6" s="72">
        <v>15</v>
      </c>
      <c r="D6" s="73">
        <v>3</v>
      </c>
      <c r="E6" s="73">
        <v>50</v>
      </c>
      <c r="F6" s="73">
        <v>10</v>
      </c>
      <c r="G6" s="74">
        <f>15+3+5+10</f>
        <v>33</v>
      </c>
      <c r="H6" s="64"/>
      <c r="I6" s="65" t="s">
        <v>333</v>
      </c>
      <c r="J6" s="60">
        <v>699</v>
      </c>
      <c r="K6" s="58">
        <v>11</v>
      </c>
      <c r="L6" s="60">
        <f t="shared" ref="L6:L11" si="0">J6*K6</f>
        <v>7689</v>
      </c>
      <c r="M6" s="60"/>
    </row>
    <row r="7" spans="2:17" ht="18" customHeight="1" x14ac:dyDescent="0.35">
      <c r="B7" s="61"/>
      <c r="C7" s="67"/>
      <c r="D7" s="67"/>
      <c r="E7" s="67"/>
      <c r="F7" s="67"/>
      <c r="G7" s="67"/>
      <c r="H7" s="63"/>
      <c r="I7" s="65" t="s">
        <v>334</v>
      </c>
      <c r="J7" s="60">
        <v>768</v>
      </c>
      <c r="K7" s="58">
        <v>9</v>
      </c>
      <c r="L7" s="60">
        <f t="shared" si="0"/>
        <v>6912</v>
      </c>
    </row>
    <row r="8" spans="2:17" ht="17.25" customHeight="1" x14ac:dyDescent="0.35">
      <c r="B8" s="61"/>
      <c r="C8" s="73"/>
      <c r="D8" s="73"/>
      <c r="E8" s="73"/>
      <c r="F8" s="73"/>
      <c r="G8" s="75" t="s">
        <v>29</v>
      </c>
      <c r="H8" s="63"/>
      <c r="I8" s="65" t="s">
        <v>335</v>
      </c>
      <c r="J8" s="60">
        <v>1049</v>
      </c>
      <c r="K8" s="58">
        <v>17</v>
      </c>
      <c r="L8" s="60">
        <f t="shared" si="0"/>
        <v>17833</v>
      </c>
    </row>
    <row r="9" spans="2:17" ht="16" customHeight="1" x14ac:dyDescent="0.35">
      <c r="B9" s="61"/>
      <c r="C9" s="73">
        <v>15</v>
      </c>
      <c r="D9" s="73">
        <v>3</v>
      </c>
      <c r="E9" s="73">
        <v>50</v>
      </c>
      <c r="F9" s="73">
        <v>10</v>
      </c>
      <c r="G9" s="73">
        <f>C9+D9+E9+F9</f>
        <v>78</v>
      </c>
      <c r="H9" s="64"/>
      <c r="I9" s="65" t="s">
        <v>339</v>
      </c>
      <c r="J9" s="60">
        <v>1099</v>
      </c>
      <c r="K9" s="58">
        <v>16</v>
      </c>
      <c r="L9" s="60">
        <f t="shared" si="0"/>
        <v>17584</v>
      </c>
    </row>
    <row r="10" spans="2:17" ht="16" customHeight="1" x14ac:dyDescent="0.35">
      <c r="C10" s="62"/>
      <c r="D10" s="62"/>
      <c r="E10" s="62"/>
      <c r="F10" s="62"/>
      <c r="G10" s="62"/>
      <c r="I10" s="65" t="s">
        <v>337</v>
      </c>
      <c r="J10" s="60">
        <v>1235</v>
      </c>
      <c r="K10" s="58">
        <v>4</v>
      </c>
      <c r="L10" s="60">
        <f t="shared" si="0"/>
        <v>4940</v>
      </c>
    </row>
    <row r="11" spans="2:17" ht="17.149999999999999" customHeight="1" x14ac:dyDescent="0.35">
      <c r="I11" s="65" t="s">
        <v>338</v>
      </c>
      <c r="J11" s="60">
        <v>1852</v>
      </c>
      <c r="K11" s="58">
        <v>9</v>
      </c>
      <c r="L11" s="60">
        <f t="shared" si="0"/>
        <v>16668</v>
      </c>
    </row>
    <row r="12" spans="2:17" ht="18.649999999999999" customHeight="1" x14ac:dyDescent="0.35">
      <c r="K12" s="65" t="s">
        <v>342</v>
      </c>
      <c r="L12" s="60">
        <f>(L6+L7+L8+L9+L10+L11)*0.2</f>
        <v>14325.2</v>
      </c>
    </row>
    <row r="13" spans="2:17" ht="16" customHeight="1" x14ac:dyDescent="0.35">
      <c r="K13" s="65" t="s">
        <v>341</v>
      </c>
      <c r="L13" s="60">
        <f>SUM(L6:L11)*0.2</f>
        <v>14325.2</v>
      </c>
    </row>
    <row r="15" spans="2:17" ht="21.65" customHeight="1" x14ac:dyDescent="0.35">
      <c r="L15" s="60"/>
    </row>
    <row r="16" spans="2:17" ht="21.65" customHeight="1" x14ac:dyDescent="0.35">
      <c r="M16" s="60"/>
    </row>
    <row r="17" spans="6:12" ht="21.65" customHeight="1" x14ac:dyDescent="0.35"/>
    <row r="18" spans="6:12" ht="21.65" customHeight="1" x14ac:dyDescent="0.35">
      <c r="L18" s="60"/>
    </row>
    <row r="19" spans="6:12" ht="21.65" customHeight="1" x14ac:dyDescent="0.35"/>
    <row r="20" spans="6:12" ht="21.65" customHeight="1" x14ac:dyDescent="0.35">
      <c r="K20" s="60"/>
    </row>
    <row r="21" spans="6:12" ht="21.65" customHeight="1" x14ac:dyDescent="0.35"/>
    <row r="22" spans="6:12" ht="21.65" customHeight="1" x14ac:dyDescent="0.35">
      <c r="K22" s="60"/>
    </row>
    <row r="23" spans="6:12" ht="21.65" customHeight="1" x14ac:dyDescent="0.35">
      <c r="G23" s="68"/>
    </row>
    <row r="24" spans="6:12" ht="23.15" customHeight="1" x14ac:dyDescent="0.35">
      <c r="F24" s="61"/>
      <c r="H24" s="64"/>
    </row>
    <row r="25" spans="6:12" ht="16" customHeight="1" x14ac:dyDescent="0.35">
      <c r="F25" s="61"/>
      <c r="H25" s="64"/>
    </row>
    <row r="26" spans="6:12" ht="16" customHeight="1" thickBot="1" x14ac:dyDescent="0.4">
      <c r="F26" s="61"/>
      <c r="H26" s="64"/>
    </row>
    <row r="27" spans="6:12" ht="16" customHeight="1" thickBot="1" x14ac:dyDescent="0.4">
      <c r="G27" s="95" t="s">
        <v>413</v>
      </c>
    </row>
    <row r="28" spans="6:12" ht="16" customHeight="1" x14ac:dyDescent="0.35">
      <c r="G28" s="154">
        <v>29</v>
      </c>
      <c r="H28"/>
    </row>
    <row r="29" spans="6:12" ht="16" customHeight="1" thickBot="1" x14ac:dyDescent="0.4">
      <c r="G29" s="155"/>
    </row>
    <row r="30" spans="6:12" ht="16" customHeight="1" x14ac:dyDescent="0.35">
      <c r="G30" s="62"/>
    </row>
    <row r="32" spans="6:12" ht="17.5" customHeight="1" x14ac:dyDescent="0.35"/>
    <row r="33" spans="6:8" ht="16" customHeight="1" x14ac:dyDescent="0.2">
      <c r="F33" s="61"/>
      <c r="H33" s="96"/>
    </row>
    <row r="34" spans="6:8" ht="16" customHeight="1" thickBot="1" x14ac:dyDescent="0.4">
      <c r="F34" s="61"/>
      <c r="H34" s="64"/>
    </row>
    <row r="35" spans="6:8" ht="16" customHeight="1" thickBot="1" x14ac:dyDescent="0.4">
      <c r="G35" s="95" t="s">
        <v>413</v>
      </c>
    </row>
    <row r="36" spans="6:8" ht="16" customHeight="1" x14ac:dyDescent="0.35">
      <c r="G36" s="156">
        <v>1.5</v>
      </c>
    </row>
    <row r="37" spans="6:8" ht="16" customHeight="1" thickBot="1" x14ac:dyDescent="0.4">
      <c r="G37" s="157"/>
    </row>
    <row r="38" spans="6:8" ht="16" customHeight="1" x14ac:dyDescent="0.35">
      <c r="G38" s="62"/>
    </row>
    <row r="42" spans="6:8" ht="16" customHeight="1" thickBot="1" x14ac:dyDescent="0.4">
      <c r="F42" s="61"/>
      <c r="H42" s="64"/>
    </row>
    <row r="43" spans="6:8" ht="16" customHeight="1" thickBot="1" x14ac:dyDescent="0.4">
      <c r="F43" s="61"/>
      <c r="G43" s="95" t="s">
        <v>414</v>
      </c>
      <c r="H43" s="64"/>
    </row>
    <row r="44" spans="6:8" ht="16" customHeight="1" x14ac:dyDescent="0.35">
      <c r="G44" s="156">
        <v>71</v>
      </c>
    </row>
    <row r="45" spans="6:8" ht="16" customHeight="1" thickBot="1" x14ac:dyDescent="0.4">
      <c r="G45" s="157"/>
    </row>
    <row r="50" spans="6:8" ht="16" customHeight="1" thickBot="1" x14ac:dyDescent="0.4"/>
    <row r="51" spans="6:8" ht="16" customHeight="1" thickBot="1" x14ac:dyDescent="0.4">
      <c r="G51" s="95" t="s">
        <v>414</v>
      </c>
    </row>
    <row r="52" spans="6:8" ht="16" customHeight="1" x14ac:dyDescent="0.35">
      <c r="F52" s="61"/>
      <c r="G52" s="154">
        <v>70</v>
      </c>
      <c r="H52" s="64"/>
    </row>
    <row r="53" spans="6:8" ht="16" customHeight="1" thickBot="1" x14ac:dyDescent="0.4">
      <c r="F53" s="61"/>
      <c r="G53" s="155"/>
      <c r="H53" s="64"/>
    </row>
    <row r="54" spans="6:8" ht="16" customHeight="1" x14ac:dyDescent="0.35">
      <c r="G54" s="62"/>
    </row>
    <row r="59" spans="6:8" ht="16" customHeight="1" thickBot="1" x14ac:dyDescent="0.4"/>
    <row r="60" spans="6:8" ht="16" customHeight="1" thickBot="1" x14ac:dyDescent="0.4">
      <c r="G60" s="95" t="s">
        <v>414</v>
      </c>
    </row>
    <row r="61" spans="6:8" ht="16" customHeight="1" x14ac:dyDescent="0.35">
      <c r="F61" s="61"/>
      <c r="G61" s="154">
        <v>180</v>
      </c>
      <c r="H61" s="64"/>
    </row>
    <row r="62" spans="6:8" ht="16" customHeight="1" thickBot="1" x14ac:dyDescent="0.4">
      <c r="F62" s="61"/>
      <c r="G62" s="155"/>
      <c r="H62" s="64"/>
    </row>
    <row r="63" spans="6:8" ht="16" customHeight="1" x14ac:dyDescent="0.35">
      <c r="G63" s="62"/>
    </row>
    <row r="68" spans="3:10" ht="16" customHeight="1" x14ac:dyDescent="0.35">
      <c r="C68" s="97" t="s">
        <v>425</v>
      </c>
      <c r="D68" s="97" t="s">
        <v>426</v>
      </c>
      <c r="E68" s="97" t="s">
        <v>427</v>
      </c>
      <c r="F68" s="97" t="s">
        <v>416</v>
      </c>
      <c r="G68" s="97" t="s">
        <v>428</v>
      </c>
    </row>
    <row r="69" spans="3:10" ht="16" customHeight="1" x14ac:dyDescent="0.35">
      <c r="C69" s="98">
        <v>3</v>
      </c>
      <c r="D69" s="98">
        <v>4</v>
      </c>
      <c r="E69" s="98">
        <v>2</v>
      </c>
      <c r="F69" s="58">
        <v>12</v>
      </c>
      <c r="G69" s="98">
        <f>(C69+D69+E69)*F69</f>
        <v>108</v>
      </c>
    </row>
    <row r="71" spans="3:10" ht="16" customHeight="1" x14ac:dyDescent="0.35">
      <c r="C71" s="97" t="s">
        <v>282</v>
      </c>
      <c r="D71" s="97" t="s">
        <v>283</v>
      </c>
      <c r="E71" s="97" t="s">
        <v>281</v>
      </c>
      <c r="F71" s="97" t="s">
        <v>418</v>
      </c>
      <c r="G71" s="97" t="s">
        <v>417</v>
      </c>
    </row>
    <row r="72" spans="3:10" ht="16" customHeight="1" x14ac:dyDescent="0.35">
      <c r="C72" s="98">
        <v>1031.27</v>
      </c>
      <c r="D72" s="98">
        <v>565.35</v>
      </c>
      <c r="E72" s="98">
        <v>1506.54</v>
      </c>
      <c r="F72" s="58">
        <v>17</v>
      </c>
      <c r="G72" s="98">
        <f>(C72+D72+E72)/F72</f>
        <v>182.53882352941176</v>
      </c>
      <c r="H72" s="98">
        <f>G72*17</f>
        <v>3103.16</v>
      </c>
      <c r="I72" s="98">
        <f>SUM(C72:E72)</f>
        <v>3103.16</v>
      </c>
    </row>
    <row r="74" spans="3:10" ht="16" customHeight="1" x14ac:dyDescent="0.35">
      <c r="C74" s="98">
        <v>10</v>
      </c>
      <c r="D74" s="98">
        <v>10</v>
      </c>
      <c r="E74" s="98">
        <v>10</v>
      </c>
      <c r="F74" s="58">
        <v>5</v>
      </c>
      <c r="G74" s="98">
        <f>(C74+D74+E74)/F74</f>
        <v>6</v>
      </c>
      <c r="H74" s="98"/>
      <c r="I74" s="98"/>
    </row>
    <row r="76" spans="3:10" ht="16" customHeight="1" x14ac:dyDescent="0.35">
      <c r="C76" s="97" t="s">
        <v>419</v>
      </c>
      <c r="D76" s="97" t="s">
        <v>423</v>
      </c>
      <c r="E76" s="97" t="s">
        <v>420</v>
      </c>
      <c r="F76" s="97" t="s">
        <v>421</v>
      </c>
      <c r="G76" s="97" t="s">
        <v>422</v>
      </c>
      <c r="J76" s="98"/>
    </row>
    <row r="77" spans="3:10" ht="16" customHeight="1" x14ac:dyDescent="0.35">
      <c r="C77" s="98">
        <v>2000</v>
      </c>
      <c r="D77" s="58">
        <v>20</v>
      </c>
      <c r="E77" s="58">
        <v>13</v>
      </c>
      <c r="F77" s="58">
        <v>6</v>
      </c>
      <c r="G77" s="98">
        <f>(C77*(1-(D77/100)))*E77*F77</f>
        <v>124800</v>
      </c>
      <c r="I77" s="98"/>
    </row>
    <row r="79" spans="3:10" ht="16" customHeight="1" x14ac:dyDescent="0.35">
      <c r="C79" s="98">
        <v>100</v>
      </c>
      <c r="D79" s="58">
        <v>20</v>
      </c>
      <c r="E79" s="58">
        <v>2</v>
      </c>
      <c r="F79" s="58">
        <v>2</v>
      </c>
      <c r="G79" s="98">
        <f>(C79*(1-(D79/100)))*E79*F79</f>
        <v>320</v>
      </c>
      <c r="H79" s="98"/>
    </row>
    <row r="81" spans="3:8" ht="16" customHeight="1" x14ac:dyDescent="0.35">
      <c r="C81" s="97" t="s">
        <v>419</v>
      </c>
      <c r="D81" s="97" t="s">
        <v>423</v>
      </c>
      <c r="E81" s="97" t="s">
        <v>424</v>
      </c>
      <c r="F81" s="97" t="s">
        <v>420</v>
      </c>
      <c r="G81" s="97" t="s">
        <v>421</v>
      </c>
      <c r="H81" s="97" t="s">
        <v>422</v>
      </c>
    </row>
    <row r="82" spans="3:8" ht="16" customHeight="1" x14ac:dyDescent="0.35">
      <c r="C82" s="98">
        <v>2000</v>
      </c>
      <c r="D82" s="58">
        <v>20</v>
      </c>
      <c r="E82" s="98">
        <f>C82-(C82*D82/100)</f>
        <v>1600</v>
      </c>
      <c r="F82" s="58">
        <v>13</v>
      </c>
      <c r="G82" s="58">
        <v>6</v>
      </c>
      <c r="H82" s="98">
        <f>E82*F82*G82</f>
        <v>124800</v>
      </c>
    </row>
    <row r="85" spans="3:8" ht="16" customHeight="1" x14ac:dyDescent="0.35">
      <c r="D85" s="99"/>
      <c r="E85" s="98"/>
      <c r="G85" s="98"/>
    </row>
  </sheetData>
  <mergeCells count="7">
    <mergeCell ref="I3:L3"/>
    <mergeCell ref="C3:G3"/>
    <mergeCell ref="G52:G53"/>
    <mergeCell ref="G61:G62"/>
    <mergeCell ref="G28:G29"/>
    <mergeCell ref="G36:G37"/>
    <mergeCell ref="G44:G45"/>
  </mergeCells>
  <conditionalFormatting sqref="G28">
    <cfRule type="cellIs" dxfId="85" priority="9" operator="equal">
      <formula>29</formula>
    </cfRule>
  </conditionalFormatting>
  <conditionalFormatting sqref="G36">
    <cfRule type="cellIs" dxfId="84" priority="7" operator="equal">
      <formula>1.5</formula>
    </cfRule>
  </conditionalFormatting>
  <conditionalFormatting sqref="G44">
    <cfRule type="cellIs" dxfId="83" priority="3" operator="equal">
      <formula>71</formula>
    </cfRule>
    <cfRule type="cellIs" dxfId="82" priority="4" operator="equal">
      <formula>1.5</formula>
    </cfRule>
  </conditionalFormatting>
  <conditionalFormatting sqref="G52:G53">
    <cfRule type="cellIs" dxfId="81" priority="2" operator="equal">
      <formula>70</formula>
    </cfRule>
  </conditionalFormatting>
  <conditionalFormatting sqref="G61:G62">
    <cfRule type="cellIs" dxfId="80" priority="1" operator="equal">
      <formula>180</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30AB0-AD9A-45EC-BB73-57C358477717}">
  <sheetPr>
    <tabColor rgb="FFFFFF00"/>
  </sheetPr>
  <dimension ref="A2:O24"/>
  <sheetViews>
    <sheetView zoomScaleNormal="100" workbookViewId="0">
      <selection activeCell="L26" sqref="L26"/>
    </sheetView>
  </sheetViews>
  <sheetFormatPr defaultRowHeight="14.5" x14ac:dyDescent="0.35"/>
  <cols>
    <col min="1" max="1" width="7.54296875" style="1" customWidth="1"/>
    <col min="2" max="2" width="8.81640625" style="1" customWidth="1"/>
    <col min="3" max="3" width="9.54296875" style="1" customWidth="1"/>
    <col min="4" max="4" width="13" style="29" customWidth="1"/>
    <col min="5" max="5" width="10.81640625" style="1" customWidth="1"/>
    <col min="6" max="6" width="10.81640625" style="1" bestFit="1" customWidth="1"/>
  </cols>
  <sheetData>
    <row r="2" spans="4:15" x14ac:dyDescent="0.35">
      <c r="D2" s="81" t="s">
        <v>355</v>
      </c>
      <c r="G2" s="77" t="s">
        <v>360</v>
      </c>
      <c r="H2" s="78"/>
      <c r="I2" s="78"/>
      <c r="J2" s="78"/>
      <c r="K2" s="78"/>
      <c r="L2" s="78"/>
      <c r="M2" s="78"/>
      <c r="N2" s="78"/>
      <c r="O2" s="79"/>
    </row>
    <row r="3" spans="4:15" x14ac:dyDescent="0.35">
      <c r="D3" s="81" t="s">
        <v>343</v>
      </c>
    </row>
    <row r="4" spans="4:15" x14ac:dyDescent="0.35">
      <c r="D4" s="81" t="s">
        <v>346</v>
      </c>
      <c r="G4" s="158" t="s">
        <v>354</v>
      </c>
      <c r="H4" s="159"/>
      <c r="I4" s="159"/>
      <c r="J4" s="159"/>
      <c r="K4" s="159"/>
      <c r="L4" s="159"/>
      <c r="M4" s="159"/>
      <c r="N4" s="159"/>
      <c r="O4" s="160"/>
    </row>
    <row r="5" spans="4:15" x14ac:dyDescent="0.35">
      <c r="D5" s="81" t="s">
        <v>348</v>
      </c>
    </row>
    <row r="6" spans="4:15" x14ac:dyDescent="0.35">
      <c r="D6" s="81" t="s">
        <v>345</v>
      </c>
      <c r="G6" s="158" t="s">
        <v>365</v>
      </c>
      <c r="H6" s="159"/>
      <c r="I6" s="159"/>
      <c r="J6" s="159"/>
      <c r="K6" s="159"/>
      <c r="L6" s="159"/>
      <c r="M6" s="159"/>
      <c r="N6" s="159"/>
      <c r="O6" s="160"/>
    </row>
    <row r="7" spans="4:15" x14ac:dyDescent="0.35">
      <c r="D7" s="81" t="s">
        <v>357</v>
      </c>
    </row>
    <row r="8" spans="4:15" x14ac:dyDescent="0.35">
      <c r="D8" s="81" t="s">
        <v>351</v>
      </c>
      <c r="G8" s="158" t="s">
        <v>366</v>
      </c>
      <c r="H8" s="159"/>
      <c r="I8" s="159"/>
      <c r="J8" s="159"/>
      <c r="K8" s="159"/>
      <c r="L8" s="159"/>
      <c r="M8" s="159"/>
      <c r="N8" s="159"/>
      <c r="O8" s="160"/>
    </row>
    <row r="9" spans="4:15" x14ac:dyDescent="0.35">
      <c r="D9" s="81" t="s">
        <v>347</v>
      </c>
      <c r="K9" s="1"/>
    </row>
    <row r="10" spans="4:15" x14ac:dyDescent="0.35">
      <c r="D10" s="81" t="s">
        <v>344</v>
      </c>
      <c r="G10" s="158" t="s">
        <v>353</v>
      </c>
      <c r="H10" s="159"/>
      <c r="I10" s="159"/>
      <c r="J10" s="159"/>
      <c r="K10" s="159"/>
      <c r="L10" s="159"/>
      <c r="M10" s="159"/>
      <c r="N10" s="159"/>
      <c r="O10" s="160"/>
    </row>
    <row r="11" spans="4:15" x14ac:dyDescent="0.35">
      <c r="D11" s="81" t="s">
        <v>364</v>
      </c>
      <c r="I11" s="1"/>
      <c r="J11" s="1"/>
      <c r="K11" s="1"/>
    </row>
    <row r="12" spans="4:15" x14ac:dyDescent="0.35">
      <c r="D12" s="81" t="s">
        <v>362</v>
      </c>
      <c r="G12" s="158" t="s">
        <v>352</v>
      </c>
      <c r="H12" s="159"/>
      <c r="I12" s="159"/>
      <c r="J12" s="159"/>
      <c r="K12" s="159"/>
      <c r="L12" s="159"/>
      <c r="M12" s="159"/>
      <c r="N12" s="159"/>
      <c r="O12" s="160"/>
    </row>
    <row r="13" spans="4:15" x14ac:dyDescent="0.35">
      <c r="D13" s="81" t="s">
        <v>359</v>
      </c>
      <c r="I13" s="1"/>
      <c r="J13" s="1"/>
      <c r="K13" s="1"/>
    </row>
    <row r="14" spans="4:15" x14ac:dyDescent="0.35">
      <c r="G14" s="158" t="s">
        <v>356</v>
      </c>
      <c r="H14" s="159"/>
      <c r="I14" s="159"/>
      <c r="J14" s="159"/>
      <c r="K14" s="159"/>
      <c r="L14" s="159"/>
      <c r="M14" s="159"/>
      <c r="N14" s="159"/>
      <c r="O14" s="160"/>
    </row>
    <row r="15" spans="4:15" x14ac:dyDescent="0.35">
      <c r="I15" s="1"/>
      <c r="J15" s="1"/>
      <c r="K15" s="1"/>
    </row>
    <row r="16" spans="4:15" x14ac:dyDescent="0.35">
      <c r="G16" s="158" t="s">
        <v>349</v>
      </c>
      <c r="H16" s="159"/>
      <c r="I16" s="159"/>
      <c r="J16" s="159"/>
      <c r="K16" s="159"/>
      <c r="L16" s="159"/>
      <c r="M16" s="159"/>
      <c r="N16" s="159"/>
      <c r="O16" s="160"/>
    </row>
    <row r="17" spans="7:15" x14ac:dyDescent="0.35">
      <c r="I17" s="1"/>
      <c r="J17" s="1"/>
      <c r="K17" s="1"/>
    </row>
    <row r="18" spans="7:15" x14ac:dyDescent="0.35">
      <c r="G18" s="158" t="s">
        <v>350</v>
      </c>
      <c r="H18" s="159"/>
      <c r="I18" s="159"/>
      <c r="J18" s="159"/>
      <c r="K18" s="159"/>
      <c r="L18" s="159"/>
      <c r="M18" s="159"/>
      <c r="N18" s="159"/>
      <c r="O18" s="160"/>
    </row>
    <row r="19" spans="7:15" x14ac:dyDescent="0.35">
      <c r="I19" s="1"/>
      <c r="J19" s="1"/>
      <c r="K19" s="1"/>
    </row>
    <row r="20" spans="7:15" x14ac:dyDescent="0.35">
      <c r="G20" s="158" t="s">
        <v>361</v>
      </c>
      <c r="H20" s="159"/>
      <c r="I20" s="159"/>
      <c r="J20" s="159"/>
      <c r="K20" s="159"/>
      <c r="L20" s="159"/>
      <c r="M20" s="159"/>
      <c r="N20" s="159"/>
      <c r="O20" s="160"/>
    </row>
    <row r="21" spans="7:15" x14ac:dyDescent="0.35">
      <c r="H21" s="1"/>
      <c r="I21" s="1"/>
      <c r="J21" s="1"/>
      <c r="K21" s="1"/>
    </row>
    <row r="22" spans="7:15" x14ac:dyDescent="0.35">
      <c r="G22" s="158" t="s">
        <v>358</v>
      </c>
      <c r="H22" s="159"/>
      <c r="I22" s="159"/>
      <c r="J22" s="159"/>
      <c r="K22" s="159"/>
      <c r="L22" s="159"/>
      <c r="M22" s="159"/>
      <c r="N22" s="159"/>
      <c r="O22" s="160"/>
    </row>
    <row r="24" spans="7:15" x14ac:dyDescent="0.35">
      <c r="G24" s="158" t="s">
        <v>363</v>
      </c>
      <c r="H24" s="159"/>
      <c r="I24" s="159"/>
      <c r="J24" s="159"/>
      <c r="K24" s="159"/>
      <c r="L24" s="159"/>
      <c r="M24" s="159"/>
      <c r="N24" s="159"/>
      <c r="O24" s="160"/>
    </row>
  </sheetData>
  <mergeCells count="11">
    <mergeCell ref="G14:O14"/>
    <mergeCell ref="G4:O4"/>
    <mergeCell ref="G6:O6"/>
    <mergeCell ref="G8:O8"/>
    <mergeCell ref="G10:O10"/>
    <mergeCell ref="G12:O12"/>
    <mergeCell ref="G16:O16"/>
    <mergeCell ref="G18:O18"/>
    <mergeCell ref="G20:O20"/>
    <mergeCell ref="G22:O22"/>
    <mergeCell ref="G24:O24"/>
  </mergeCells>
  <conditionalFormatting sqref="F2">
    <cfRule type="cellIs" dxfId="79" priority="12" operator="equal">
      <formula>"CountIFS"</formula>
    </cfRule>
  </conditionalFormatting>
  <conditionalFormatting sqref="F4">
    <cfRule type="cellIs" dxfId="78" priority="11" operator="equal">
      <formula>"AverageIFS"</formula>
    </cfRule>
  </conditionalFormatting>
  <conditionalFormatting sqref="F6">
    <cfRule type="cellIs" dxfId="77" priority="10" operator="equal">
      <formula>"MinIFS"</formula>
    </cfRule>
  </conditionalFormatting>
  <conditionalFormatting sqref="F8">
    <cfRule type="cellIs" dxfId="76" priority="9" operator="equal">
      <formula>"MaxIFS"</formula>
    </cfRule>
  </conditionalFormatting>
  <conditionalFormatting sqref="F10">
    <cfRule type="cellIs" dxfId="75" priority="8" operator="equal">
      <formula>"AverageIF"</formula>
    </cfRule>
  </conditionalFormatting>
  <conditionalFormatting sqref="F12">
    <cfRule type="cellIs" dxfId="74" priority="7" operator="equal">
      <formula>"AverageA"</formula>
    </cfRule>
  </conditionalFormatting>
  <conditionalFormatting sqref="F14">
    <cfRule type="cellIs" dxfId="73" priority="6" operator="equal">
      <formula>"CountA"</formula>
    </cfRule>
  </conditionalFormatting>
  <conditionalFormatting sqref="F16">
    <cfRule type="cellIs" dxfId="72" priority="5" operator="equal">
      <formula>"SumIF"</formula>
    </cfRule>
  </conditionalFormatting>
  <conditionalFormatting sqref="F18">
    <cfRule type="cellIs" dxfId="71" priority="4" operator="equal">
      <formula>"SumIFS"</formula>
    </cfRule>
  </conditionalFormatting>
  <conditionalFormatting sqref="F20">
    <cfRule type="cellIs" dxfId="70" priority="3" operator="equal">
      <formula>"MaxA"</formula>
    </cfRule>
  </conditionalFormatting>
  <conditionalFormatting sqref="F22">
    <cfRule type="cellIs" dxfId="69" priority="2" operator="equal">
      <formula>"CountBLANK"</formula>
    </cfRule>
  </conditionalFormatting>
  <conditionalFormatting sqref="F24">
    <cfRule type="cellIs" dxfId="68" priority="1" operator="equal">
      <formula>"MinA"</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57E24-AB24-4074-8277-0AB8A64AC595}">
  <sheetPr>
    <tabColor rgb="FFFFFF00"/>
  </sheetPr>
  <dimension ref="D2:O24"/>
  <sheetViews>
    <sheetView topLeftCell="A16" zoomScaleNormal="100" workbookViewId="0">
      <selection activeCell="M44" sqref="M44"/>
    </sheetView>
  </sheetViews>
  <sheetFormatPr defaultRowHeight="14.5" x14ac:dyDescent="0.35"/>
  <cols>
    <col min="4" max="4" width="11.54296875" style="1" customWidth="1"/>
    <col min="5" max="5" width="9.453125" style="1" customWidth="1"/>
    <col min="6" max="6" width="10.81640625" style="1" bestFit="1" customWidth="1"/>
  </cols>
  <sheetData>
    <row r="2" spans="4:15" x14ac:dyDescent="0.35">
      <c r="D2" s="80" t="s">
        <v>359</v>
      </c>
      <c r="F2" s="1" t="s">
        <v>359</v>
      </c>
      <c r="G2" s="77" t="s">
        <v>360</v>
      </c>
      <c r="H2" s="78"/>
      <c r="I2" s="78"/>
      <c r="J2" s="78"/>
      <c r="K2" s="78"/>
      <c r="L2" s="78"/>
      <c r="M2" s="78"/>
      <c r="N2" s="78"/>
      <c r="O2" s="79"/>
    </row>
    <row r="3" spans="4:15" x14ac:dyDescent="0.35">
      <c r="D3" s="80"/>
    </row>
    <row r="4" spans="4:15" x14ac:dyDescent="0.35">
      <c r="D4" s="80" t="s">
        <v>348</v>
      </c>
      <c r="F4" s="1" t="s">
        <v>348</v>
      </c>
      <c r="G4" s="158" t="s">
        <v>354</v>
      </c>
      <c r="H4" s="159"/>
      <c r="I4" s="159"/>
      <c r="J4" s="159"/>
      <c r="K4" s="159"/>
      <c r="L4" s="159"/>
      <c r="M4" s="159"/>
      <c r="N4" s="159"/>
      <c r="O4" s="160"/>
    </row>
    <row r="5" spans="4:15" x14ac:dyDescent="0.35">
      <c r="D5" s="80"/>
    </row>
    <row r="6" spans="4:15" x14ac:dyDescent="0.35">
      <c r="D6" s="80" t="s">
        <v>364</v>
      </c>
      <c r="F6" s="1" t="s">
        <v>364</v>
      </c>
      <c r="G6" s="158" t="s">
        <v>365</v>
      </c>
      <c r="H6" s="159"/>
      <c r="I6" s="159"/>
      <c r="J6" s="159"/>
      <c r="K6" s="159"/>
      <c r="L6" s="159"/>
      <c r="M6" s="159"/>
      <c r="N6" s="159"/>
      <c r="O6" s="160"/>
    </row>
    <row r="7" spans="4:15" x14ac:dyDescent="0.35">
      <c r="D7" s="80"/>
    </row>
    <row r="8" spans="4:15" x14ac:dyDescent="0.35">
      <c r="D8" s="80" t="s">
        <v>362</v>
      </c>
      <c r="F8" s="1" t="s">
        <v>362</v>
      </c>
      <c r="G8" s="158" t="s">
        <v>366</v>
      </c>
      <c r="H8" s="159"/>
      <c r="I8" s="159"/>
      <c r="J8" s="159"/>
      <c r="K8" s="159"/>
      <c r="L8" s="159"/>
      <c r="M8" s="159"/>
      <c r="N8" s="159"/>
      <c r="O8" s="160"/>
    </row>
    <row r="9" spans="4:15" x14ac:dyDescent="0.35">
      <c r="D9" s="80"/>
      <c r="K9" s="1"/>
    </row>
    <row r="10" spans="4:15" x14ac:dyDescent="0.35">
      <c r="D10" s="80" t="s">
        <v>346</v>
      </c>
      <c r="F10" s="1" t="s">
        <v>346</v>
      </c>
      <c r="G10" s="158" t="s">
        <v>353</v>
      </c>
      <c r="H10" s="159"/>
      <c r="I10" s="159"/>
      <c r="J10" s="159"/>
      <c r="K10" s="159"/>
      <c r="L10" s="159"/>
      <c r="M10" s="159"/>
      <c r="N10" s="159"/>
      <c r="O10" s="160"/>
    </row>
    <row r="11" spans="4:15" x14ac:dyDescent="0.35">
      <c r="D11" s="80"/>
      <c r="I11" s="1"/>
      <c r="J11" s="1"/>
      <c r="K11" s="1"/>
    </row>
    <row r="12" spans="4:15" x14ac:dyDescent="0.35">
      <c r="D12" s="80" t="s">
        <v>351</v>
      </c>
      <c r="F12" s="1" t="s">
        <v>351</v>
      </c>
      <c r="G12" s="158" t="s">
        <v>352</v>
      </c>
      <c r="H12" s="159"/>
      <c r="I12" s="159"/>
      <c r="J12" s="159"/>
      <c r="K12" s="159"/>
      <c r="L12" s="159"/>
      <c r="M12" s="159"/>
      <c r="N12" s="159"/>
      <c r="O12" s="160"/>
    </row>
    <row r="13" spans="4:15" x14ac:dyDescent="0.35">
      <c r="D13" s="80"/>
      <c r="I13" s="1"/>
      <c r="J13" s="1"/>
      <c r="K13" s="1"/>
    </row>
    <row r="14" spans="4:15" x14ac:dyDescent="0.35">
      <c r="D14" s="80" t="s">
        <v>355</v>
      </c>
      <c r="F14" s="1" t="s">
        <v>355</v>
      </c>
      <c r="G14" s="158" t="s">
        <v>356</v>
      </c>
      <c r="H14" s="159"/>
      <c r="I14" s="159"/>
      <c r="J14" s="159"/>
      <c r="K14" s="159"/>
      <c r="L14" s="159"/>
      <c r="M14" s="159"/>
      <c r="N14" s="159"/>
      <c r="O14" s="160"/>
    </row>
    <row r="15" spans="4:15" x14ac:dyDescent="0.35">
      <c r="D15" s="80"/>
      <c r="I15" s="1"/>
      <c r="J15" s="1"/>
      <c r="K15" s="1"/>
    </row>
    <row r="16" spans="4:15" x14ac:dyDescent="0.35">
      <c r="D16" s="80" t="s">
        <v>345</v>
      </c>
      <c r="F16" s="1" t="s">
        <v>345</v>
      </c>
      <c r="G16" s="158" t="s">
        <v>349</v>
      </c>
      <c r="H16" s="159"/>
      <c r="I16" s="159"/>
      <c r="J16" s="159"/>
      <c r="K16" s="159"/>
      <c r="L16" s="159"/>
      <c r="M16" s="159"/>
      <c r="N16" s="159"/>
      <c r="O16" s="160"/>
    </row>
    <row r="17" spans="4:15" x14ac:dyDescent="0.35">
      <c r="D17" s="80"/>
      <c r="I17" s="1"/>
      <c r="J17" s="1"/>
      <c r="K17" s="1"/>
    </row>
    <row r="18" spans="4:15" x14ac:dyDescent="0.35">
      <c r="D18" s="80" t="s">
        <v>347</v>
      </c>
      <c r="F18" s="1" t="s">
        <v>347</v>
      </c>
      <c r="G18" s="158" t="s">
        <v>350</v>
      </c>
      <c r="H18" s="159"/>
      <c r="I18" s="159"/>
      <c r="J18" s="159"/>
      <c r="K18" s="159"/>
      <c r="L18" s="159"/>
      <c r="M18" s="159"/>
      <c r="N18" s="159"/>
      <c r="O18" s="160"/>
    </row>
    <row r="19" spans="4:15" x14ac:dyDescent="0.35">
      <c r="D19" s="80"/>
      <c r="I19" s="1"/>
      <c r="J19" s="1"/>
      <c r="K19" s="1"/>
    </row>
    <row r="20" spans="4:15" x14ac:dyDescent="0.35">
      <c r="D20" s="80" t="s">
        <v>343</v>
      </c>
      <c r="F20" s="1" t="s">
        <v>343</v>
      </c>
      <c r="G20" s="158" t="s">
        <v>361</v>
      </c>
      <c r="H20" s="159"/>
      <c r="I20" s="159"/>
      <c r="J20" s="159"/>
      <c r="K20" s="159"/>
      <c r="L20" s="159"/>
      <c r="M20" s="159"/>
      <c r="N20" s="159"/>
      <c r="O20" s="160"/>
    </row>
    <row r="21" spans="4:15" x14ac:dyDescent="0.35">
      <c r="D21" s="80"/>
      <c r="H21" s="1"/>
      <c r="I21" s="1"/>
      <c r="J21" s="1"/>
      <c r="K21" s="1"/>
    </row>
    <row r="22" spans="4:15" x14ac:dyDescent="0.35">
      <c r="D22" s="80" t="s">
        <v>357</v>
      </c>
      <c r="F22" s="1" t="s">
        <v>357</v>
      </c>
      <c r="G22" s="158" t="s">
        <v>358</v>
      </c>
      <c r="H22" s="159"/>
      <c r="I22" s="159"/>
      <c r="J22" s="159"/>
      <c r="K22" s="159"/>
      <c r="L22" s="159"/>
      <c r="M22" s="159"/>
      <c r="N22" s="159"/>
      <c r="O22" s="160"/>
    </row>
    <row r="23" spans="4:15" x14ac:dyDescent="0.35">
      <c r="D23" s="80"/>
    </row>
    <row r="24" spans="4:15" x14ac:dyDescent="0.35">
      <c r="D24" s="80" t="s">
        <v>344</v>
      </c>
      <c r="F24" s="1" t="s">
        <v>344</v>
      </c>
      <c r="G24" s="158" t="s">
        <v>363</v>
      </c>
      <c r="H24" s="159"/>
      <c r="I24" s="159"/>
      <c r="J24" s="159"/>
      <c r="K24" s="159"/>
      <c r="L24" s="159"/>
      <c r="M24" s="159"/>
      <c r="N24" s="159"/>
      <c r="O24" s="160"/>
    </row>
  </sheetData>
  <mergeCells count="11">
    <mergeCell ref="G4:O4"/>
    <mergeCell ref="G24:O24"/>
    <mergeCell ref="G12:O12"/>
    <mergeCell ref="G10:O10"/>
    <mergeCell ref="G8:O8"/>
    <mergeCell ref="G6:O6"/>
    <mergeCell ref="G14:O14"/>
    <mergeCell ref="G16:O16"/>
    <mergeCell ref="G18:O18"/>
    <mergeCell ref="G20:O20"/>
    <mergeCell ref="G22:O22"/>
  </mergeCells>
  <conditionalFormatting sqref="F2">
    <cfRule type="cellIs" dxfId="67" priority="12" operator="equal">
      <formula>"CountIFS"</formula>
    </cfRule>
  </conditionalFormatting>
  <conditionalFormatting sqref="F4">
    <cfRule type="cellIs" dxfId="66" priority="11" operator="equal">
      <formula>"AverageIFS"</formula>
    </cfRule>
  </conditionalFormatting>
  <conditionalFormatting sqref="F6">
    <cfRule type="cellIs" dxfId="65" priority="10" operator="equal">
      <formula>"MinIFS"</formula>
    </cfRule>
  </conditionalFormatting>
  <conditionalFormatting sqref="F8">
    <cfRule type="cellIs" dxfId="64" priority="9" operator="equal">
      <formula>"MaxIFS"</formula>
    </cfRule>
  </conditionalFormatting>
  <conditionalFormatting sqref="F10">
    <cfRule type="cellIs" dxfId="63" priority="8" operator="equal">
      <formula>"AverageIF"</formula>
    </cfRule>
  </conditionalFormatting>
  <conditionalFormatting sqref="F12">
    <cfRule type="cellIs" dxfId="62" priority="7" operator="equal">
      <formula>"AverageA"</formula>
    </cfRule>
  </conditionalFormatting>
  <conditionalFormatting sqref="F14">
    <cfRule type="cellIs" dxfId="61" priority="6" operator="equal">
      <formula>"CountA"</formula>
    </cfRule>
  </conditionalFormatting>
  <conditionalFormatting sqref="F16">
    <cfRule type="cellIs" dxfId="60" priority="5" operator="equal">
      <formula>"SumIF"</formula>
    </cfRule>
  </conditionalFormatting>
  <conditionalFormatting sqref="F18">
    <cfRule type="cellIs" dxfId="59" priority="4" operator="equal">
      <formula>"SumIFS"</formula>
    </cfRule>
  </conditionalFormatting>
  <conditionalFormatting sqref="F20">
    <cfRule type="cellIs" dxfId="58" priority="3" operator="equal">
      <formula>"MaxA"</formula>
    </cfRule>
  </conditionalFormatting>
  <conditionalFormatting sqref="F22">
    <cfRule type="cellIs" dxfId="57" priority="2" operator="equal">
      <formula>"CountBLANK"</formula>
    </cfRule>
  </conditionalFormatting>
  <conditionalFormatting sqref="F24">
    <cfRule type="cellIs" dxfId="56" priority="1" operator="equal">
      <formula>"MinA"</formula>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196E5-98E7-4677-A9A8-599BAF85B264}">
  <sheetPr>
    <tabColor rgb="FFFFC000"/>
  </sheetPr>
  <dimension ref="C3:N41"/>
  <sheetViews>
    <sheetView topLeftCell="A23" zoomScale="92" zoomScaleNormal="92" workbookViewId="0">
      <selection activeCell="O32" sqref="O32"/>
    </sheetView>
  </sheetViews>
  <sheetFormatPr defaultColWidth="9.1796875" defaultRowHeight="14.5" x14ac:dyDescent="0.35"/>
  <cols>
    <col min="1" max="1" width="9.1796875" style="93"/>
    <col min="2" max="2" width="9.26953125" style="93" bestFit="1" customWidth="1"/>
    <col min="3" max="3" width="11.6328125" style="93" customWidth="1"/>
    <col min="4" max="4" width="13.453125" style="93" customWidth="1"/>
    <col min="5" max="5" width="10.26953125" style="93" customWidth="1"/>
    <col min="6" max="7" width="9.1796875" style="93"/>
    <col min="8" max="8" width="16.26953125" style="93" customWidth="1"/>
    <col min="9" max="16384" width="9.1796875" style="93"/>
  </cols>
  <sheetData>
    <row r="3" spans="3:14" ht="21" x14ac:dyDescent="0.35">
      <c r="E3" s="161" t="s">
        <v>412</v>
      </c>
      <c r="F3" s="162"/>
      <c r="G3" s="162"/>
      <c r="H3" s="162"/>
      <c r="I3" s="162"/>
      <c r="J3" s="162"/>
      <c r="K3" s="162"/>
      <c r="L3" s="162"/>
      <c r="M3" s="162"/>
      <c r="N3" s="163"/>
    </row>
    <row r="4" spans="3:14" x14ac:dyDescent="0.35">
      <c r="D4" s="29"/>
      <c r="E4" s="29"/>
      <c r="F4" s="29"/>
      <c r="G4" s="29"/>
      <c r="H4" s="29"/>
      <c r="I4" s="29"/>
      <c r="J4" s="29"/>
      <c r="K4" s="29"/>
      <c r="L4" s="29"/>
      <c r="M4" s="29"/>
    </row>
    <row r="5" spans="3:14" x14ac:dyDescent="0.35">
      <c r="D5" s="29"/>
      <c r="E5" s="29"/>
      <c r="F5" s="29"/>
      <c r="G5" s="29"/>
      <c r="H5" s="92"/>
      <c r="I5" s="29"/>
      <c r="J5" s="29"/>
      <c r="K5" s="29"/>
      <c r="L5" s="29"/>
      <c r="M5" s="29"/>
    </row>
    <row r="6" spans="3:14" x14ac:dyDescent="0.35">
      <c r="C6" s="94"/>
      <c r="D6" s="29" t="s">
        <v>266</v>
      </c>
      <c r="E6" s="29" t="s">
        <v>291</v>
      </c>
      <c r="F6" s="29" t="s">
        <v>409</v>
      </c>
      <c r="G6" s="29" t="s">
        <v>292</v>
      </c>
      <c r="H6" s="29" t="s">
        <v>410</v>
      </c>
      <c r="I6" s="29"/>
      <c r="J6" s="29"/>
      <c r="K6" s="29"/>
      <c r="L6" s="29"/>
      <c r="M6" s="29"/>
    </row>
    <row r="7" spans="3:14" x14ac:dyDescent="0.35">
      <c r="D7" s="83" t="s">
        <v>11</v>
      </c>
      <c r="E7" s="84">
        <v>2504</v>
      </c>
      <c r="F7" s="84">
        <f>E7*0.2</f>
        <v>500.8</v>
      </c>
      <c r="G7" s="84">
        <v>559</v>
      </c>
      <c r="H7" s="84">
        <f>(E7-F7)-G7</f>
        <v>1444.2</v>
      </c>
      <c r="I7" s="29"/>
      <c r="J7" s="29"/>
      <c r="K7" s="29"/>
      <c r="L7" s="29"/>
      <c r="M7" s="29"/>
    </row>
    <row r="8" spans="3:14" x14ac:dyDescent="0.35">
      <c r="D8" s="83" t="s">
        <v>12</v>
      </c>
      <c r="E8" s="84">
        <v>2494</v>
      </c>
      <c r="F8" s="84">
        <f t="shared" ref="F8:F18" si="0">E8*0.2</f>
        <v>498.8</v>
      </c>
      <c r="G8" s="84">
        <v>621</v>
      </c>
      <c r="H8" s="84">
        <f t="shared" ref="H8:H18" si="1">(E8-F8)-G8</f>
        <v>1374.2</v>
      </c>
      <c r="I8" s="29"/>
      <c r="J8" s="29"/>
      <c r="K8" s="29"/>
      <c r="L8" s="29"/>
      <c r="M8" s="29"/>
    </row>
    <row r="9" spans="3:14" x14ac:dyDescent="0.35">
      <c r="D9" s="83" t="s">
        <v>13</v>
      </c>
      <c r="E9" s="84">
        <v>2142</v>
      </c>
      <c r="F9" s="84">
        <f t="shared" si="0"/>
        <v>428.40000000000003</v>
      </c>
      <c r="G9" s="84">
        <v>824</v>
      </c>
      <c r="H9" s="84">
        <f t="shared" si="1"/>
        <v>889.59999999999991</v>
      </c>
      <c r="I9" s="29"/>
      <c r="J9" s="29"/>
      <c r="K9" s="29"/>
      <c r="L9" s="29"/>
      <c r="M9" s="29"/>
    </row>
    <row r="10" spans="3:14" x14ac:dyDescent="0.35">
      <c r="D10" s="83" t="s">
        <v>2</v>
      </c>
      <c r="E10" s="84">
        <v>2001</v>
      </c>
      <c r="F10" s="84">
        <f t="shared" si="0"/>
        <v>400.20000000000005</v>
      </c>
      <c r="G10" s="84">
        <v>528</v>
      </c>
      <c r="H10" s="84">
        <f t="shared" si="1"/>
        <v>1072.8</v>
      </c>
      <c r="I10" s="29"/>
      <c r="J10" s="29"/>
      <c r="K10" s="29"/>
      <c r="L10" s="29"/>
      <c r="M10" s="29"/>
    </row>
    <row r="11" spans="3:14" x14ac:dyDescent="0.35">
      <c r="D11" s="83" t="s">
        <v>3</v>
      </c>
      <c r="E11" s="84">
        <v>2362</v>
      </c>
      <c r="F11" s="84">
        <f t="shared" si="0"/>
        <v>472.40000000000003</v>
      </c>
      <c r="G11" s="84">
        <v>612</v>
      </c>
      <c r="H11" s="84">
        <f t="shared" si="1"/>
        <v>1277.5999999999999</v>
      </c>
      <c r="I11" s="29"/>
      <c r="J11" s="29"/>
      <c r="K11" s="29"/>
      <c r="L11" s="29"/>
      <c r="M11" s="29"/>
    </row>
    <row r="12" spans="3:14" x14ac:dyDescent="0.35">
      <c r="D12" s="83" t="s">
        <v>4</v>
      </c>
      <c r="E12" s="84">
        <v>2297</v>
      </c>
      <c r="F12" s="84">
        <f t="shared" si="0"/>
        <v>459.40000000000003</v>
      </c>
      <c r="G12" s="84">
        <v>594</v>
      </c>
      <c r="H12" s="84">
        <f t="shared" si="1"/>
        <v>1243.5999999999999</v>
      </c>
      <c r="I12" s="29"/>
      <c r="J12" s="29"/>
      <c r="K12" s="29"/>
      <c r="L12" s="29"/>
      <c r="M12" s="29"/>
    </row>
    <row r="13" spans="3:14" x14ac:dyDescent="0.35">
      <c r="D13" s="83" t="s">
        <v>5</v>
      </c>
      <c r="E13" s="84">
        <v>2787</v>
      </c>
      <c r="F13" s="84">
        <f t="shared" si="0"/>
        <v>557.4</v>
      </c>
      <c r="G13" s="84">
        <v>481</v>
      </c>
      <c r="H13" s="84">
        <f t="shared" si="1"/>
        <v>1748.6</v>
      </c>
      <c r="I13" s="29"/>
      <c r="J13" s="29"/>
      <c r="K13" s="29"/>
      <c r="L13" s="29"/>
      <c r="M13" s="29"/>
    </row>
    <row r="14" spans="3:14" x14ac:dyDescent="0.35">
      <c r="D14" s="83" t="s">
        <v>6</v>
      </c>
      <c r="E14" s="84">
        <v>2462</v>
      </c>
      <c r="F14" s="84">
        <f t="shared" si="0"/>
        <v>492.40000000000003</v>
      </c>
      <c r="G14" s="84">
        <v>821</v>
      </c>
      <c r="H14" s="84">
        <f t="shared" si="1"/>
        <v>1148.5999999999999</v>
      </c>
      <c r="I14" s="29"/>
      <c r="J14" s="29"/>
      <c r="K14" s="29"/>
      <c r="L14" s="29"/>
      <c r="M14" s="29"/>
    </row>
    <row r="15" spans="3:14" x14ac:dyDescent="0.35">
      <c r="D15" s="83" t="s">
        <v>7</v>
      </c>
      <c r="E15" s="84">
        <v>1964</v>
      </c>
      <c r="F15" s="84">
        <f t="shared" si="0"/>
        <v>392.8</v>
      </c>
      <c r="G15" s="84">
        <v>582</v>
      </c>
      <c r="H15" s="84">
        <f t="shared" si="1"/>
        <v>989.2</v>
      </c>
      <c r="I15" s="29"/>
      <c r="J15" s="29"/>
      <c r="K15" s="29"/>
      <c r="L15" s="29"/>
      <c r="M15" s="29"/>
    </row>
    <row r="16" spans="3:14" x14ac:dyDescent="0.35">
      <c r="D16" s="83" t="s">
        <v>8</v>
      </c>
      <c r="E16" s="84">
        <v>2878</v>
      </c>
      <c r="F16" s="84">
        <f t="shared" si="0"/>
        <v>575.6</v>
      </c>
      <c r="G16" s="84">
        <v>628</v>
      </c>
      <c r="H16" s="84">
        <f t="shared" si="1"/>
        <v>1674.4</v>
      </c>
      <c r="I16" s="29"/>
      <c r="J16" s="29"/>
      <c r="K16" s="29"/>
      <c r="L16" s="29"/>
      <c r="M16" s="29"/>
    </row>
    <row r="17" spans="4:13" x14ac:dyDescent="0.35">
      <c r="D17" s="83" t="s">
        <v>9</v>
      </c>
      <c r="E17" s="84">
        <v>2541</v>
      </c>
      <c r="F17" s="84">
        <f t="shared" si="0"/>
        <v>508.20000000000005</v>
      </c>
      <c r="G17" s="84">
        <v>504</v>
      </c>
      <c r="H17" s="84">
        <f t="shared" si="1"/>
        <v>1528.8</v>
      </c>
      <c r="I17" s="29"/>
      <c r="J17" s="29"/>
      <c r="K17" s="29"/>
      <c r="L17" s="29"/>
      <c r="M17" s="29"/>
    </row>
    <row r="18" spans="4:13" x14ac:dyDescent="0.35">
      <c r="D18" s="83" t="s">
        <v>10</v>
      </c>
      <c r="E18" s="84">
        <v>2643</v>
      </c>
      <c r="F18" s="84">
        <f t="shared" si="0"/>
        <v>528.6</v>
      </c>
      <c r="G18" s="84">
        <v>632</v>
      </c>
      <c r="H18" s="84">
        <f t="shared" si="1"/>
        <v>1482.4</v>
      </c>
      <c r="I18" s="29"/>
      <c r="J18" s="29"/>
      <c r="K18" s="29"/>
      <c r="L18" s="29"/>
      <c r="M18" s="29"/>
    </row>
    <row r="19" spans="4:13" x14ac:dyDescent="0.35">
      <c r="D19" s="29"/>
      <c r="E19" s="29"/>
      <c r="F19" s="29"/>
      <c r="G19" s="83" t="s">
        <v>293</v>
      </c>
      <c r="H19" s="91">
        <f>SUM(H7:H18)</f>
        <v>15874</v>
      </c>
      <c r="I19" s="29"/>
      <c r="J19" s="29"/>
      <c r="K19" s="29"/>
      <c r="L19" s="29"/>
      <c r="M19" s="29"/>
    </row>
    <row r="20" spans="4:13" x14ac:dyDescent="0.35">
      <c r="D20" s="29"/>
      <c r="E20" s="29"/>
      <c r="F20" s="29"/>
      <c r="G20" s="29"/>
      <c r="H20" s="29"/>
      <c r="I20" s="29"/>
      <c r="J20" s="29"/>
      <c r="K20" s="29"/>
      <c r="L20" s="29"/>
      <c r="M20" s="29"/>
    </row>
    <row r="21" spans="4:13" x14ac:dyDescent="0.35">
      <c r="D21" s="29"/>
      <c r="E21" s="29"/>
      <c r="F21" s="29"/>
      <c r="G21" s="29"/>
      <c r="H21" s="29"/>
      <c r="I21" s="29"/>
      <c r="J21" s="29"/>
      <c r="K21" s="29"/>
      <c r="L21" s="29"/>
      <c r="M21" s="29"/>
    </row>
    <row r="22" spans="4:13" x14ac:dyDescent="0.35">
      <c r="D22" s="29"/>
      <c r="E22" s="29"/>
      <c r="F22" s="29"/>
      <c r="G22" s="29"/>
      <c r="H22" s="29"/>
      <c r="I22" s="29"/>
      <c r="J22" s="29"/>
      <c r="K22" s="29"/>
      <c r="L22" s="29"/>
      <c r="M22" s="29"/>
    </row>
    <row r="23" spans="4:13" x14ac:dyDescent="0.35">
      <c r="D23" s="29"/>
      <c r="E23" s="29"/>
      <c r="F23" s="29"/>
      <c r="G23" s="29"/>
      <c r="H23" s="29"/>
      <c r="I23" s="29"/>
      <c r="J23" s="29"/>
      <c r="K23" s="29"/>
      <c r="L23" s="29"/>
      <c r="M23" s="29"/>
    </row>
    <row r="24" spans="4:13" x14ac:dyDescent="0.35">
      <c r="D24" s="29"/>
      <c r="E24" s="29"/>
      <c r="F24" s="29"/>
      <c r="G24" s="29"/>
      <c r="H24" s="29"/>
      <c r="I24" s="29"/>
      <c r="J24" s="29"/>
      <c r="K24" s="29"/>
      <c r="L24" s="29"/>
      <c r="M24" s="29"/>
    </row>
    <row r="25" spans="4:13" ht="24.5" customHeight="1" x14ac:dyDescent="0.35">
      <c r="D25" s="164" t="s">
        <v>411</v>
      </c>
      <c r="E25" s="164"/>
      <c r="F25" s="164"/>
      <c r="G25" s="164"/>
      <c r="H25" s="164"/>
      <c r="I25" s="164"/>
      <c r="J25" s="164"/>
      <c r="K25" s="164"/>
      <c r="L25" s="164"/>
      <c r="M25" s="164"/>
    </row>
    <row r="26" spans="4:13" x14ac:dyDescent="0.35">
      <c r="D26" s="29"/>
      <c r="E26" s="29"/>
      <c r="F26" s="29"/>
      <c r="G26" s="29"/>
      <c r="H26" s="29"/>
      <c r="I26" s="29"/>
      <c r="J26" s="29"/>
      <c r="K26" s="29"/>
      <c r="L26" s="29"/>
      <c r="M26" s="29"/>
    </row>
    <row r="27" spans="4:13" x14ac:dyDescent="0.35">
      <c r="D27" s="29"/>
      <c r="E27" s="29"/>
      <c r="F27" s="29"/>
      <c r="G27" s="29"/>
      <c r="H27" s="29"/>
      <c r="I27" s="29"/>
      <c r="J27" s="29"/>
      <c r="K27" s="29"/>
      <c r="L27" s="29"/>
      <c r="M27" s="29"/>
    </row>
    <row r="28" spans="4:13" x14ac:dyDescent="0.35">
      <c r="D28" s="83" t="s">
        <v>280</v>
      </c>
      <c r="E28" s="90">
        <v>320</v>
      </c>
      <c r="F28" s="29"/>
      <c r="G28" s="29"/>
      <c r="H28" s="29"/>
      <c r="I28" s="29"/>
      <c r="J28" s="29"/>
      <c r="K28" s="29"/>
      <c r="L28" s="29"/>
      <c r="M28" s="29"/>
    </row>
    <row r="29" spans="4:13" x14ac:dyDescent="0.35">
      <c r="D29" s="83" t="s">
        <v>281</v>
      </c>
      <c r="E29" s="90">
        <v>68</v>
      </c>
      <c r="F29" s="29"/>
      <c r="G29" s="29"/>
      <c r="H29" s="29"/>
      <c r="I29" s="29"/>
      <c r="J29" s="29"/>
      <c r="K29" s="29"/>
      <c r="L29" s="29"/>
      <c r="M29" s="29"/>
    </row>
    <row r="30" spans="4:13" x14ac:dyDescent="0.35">
      <c r="D30" s="83" t="s">
        <v>282</v>
      </c>
      <c r="E30" s="90">
        <v>34</v>
      </c>
      <c r="F30" s="29"/>
      <c r="G30" s="29"/>
      <c r="H30" s="29"/>
      <c r="I30" s="29"/>
      <c r="J30" s="29"/>
      <c r="K30" s="29"/>
      <c r="L30" s="29"/>
      <c r="M30" s="29"/>
    </row>
    <row r="31" spans="4:13" x14ac:dyDescent="0.35">
      <c r="D31" s="83" t="s">
        <v>283</v>
      </c>
      <c r="E31" s="90">
        <v>25</v>
      </c>
      <c r="F31" s="29"/>
      <c r="G31" s="29"/>
      <c r="H31" s="29"/>
      <c r="I31" s="29"/>
      <c r="J31" s="29"/>
      <c r="K31" s="29"/>
      <c r="L31" s="29"/>
      <c r="M31" s="29"/>
    </row>
    <row r="32" spans="4:13" x14ac:dyDescent="0.35">
      <c r="D32" s="83" t="s">
        <v>284</v>
      </c>
      <c r="E32" s="90">
        <v>41</v>
      </c>
      <c r="F32" s="29"/>
      <c r="G32" s="29"/>
      <c r="H32" s="29"/>
      <c r="I32" s="29"/>
      <c r="J32" s="29"/>
      <c r="K32" s="29"/>
      <c r="L32" s="29"/>
      <c r="M32" s="29"/>
    </row>
    <row r="33" spans="4:13" x14ac:dyDescent="0.35">
      <c r="D33" s="83" t="s">
        <v>285</v>
      </c>
      <c r="E33" s="90">
        <v>85</v>
      </c>
      <c r="F33" s="29"/>
      <c r="G33" s="29"/>
      <c r="H33" s="29"/>
      <c r="I33" s="29"/>
      <c r="J33" s="29"/>
      <c r="K33" s="29"/>
      <c r="L33" s="29"/>
      <c r="M33" s="29"/>
    </row>
    <row r="34" spans="4:13" x14ac:dyDescent="0.35">
      <c r="D34" s="83" t="s">
        <v>286</v>
      </c>
      <c r="E34" s="90">
        <v>75</v>
      </c>
      <c r="F34" s="29"/>
      <c r="G34" s="29"/>
      <c r="H34" s="29"/>
      <c r="I34" s="29"/>
      <c r="J34" s="29"/>
      <c r="K34" s="29"/>
      <c r="L34" s="29"/>
      <c r="M34" s="29"/>
    </row>
    <row r="35" spans="4:13" x14ac:dyDescent="0.35">
      <c r="D35" s="83" t="s">
        <v>277</v>
      </c>
      <c r="E35" s="90">
        <v>80</v>
      </c>
      <c r="F35" s="29"/>
      <c r="G35" s="29"/>
      <c r="H35" s="29"/>
      <c r="I35" s="29"/>
      <c r="J35" s="29"/>
      <c r="K35" s="29"/>
      <c r="L35" s="29"/>
      <c r="M35" s="29"/>
    </row>
    <row r="36" spans="4:13" x14ac:dyDescent="0.35">
      <c r="D36" s="83" t="s">
        <v>287</v>
      </c>
      <c r="E36" s="90">
        <v>68</v>
      </c>
      <c r="F36" s="29"/>
      <c r="G36" s="29"/>
      <c r="H36" s="29"/>
      <c r="I36" s="29"/>
      <c r="J36" s="29"/>
      <c r="K36" s="29"/>
      <c r="L36" s="29"/>
      <c r="M36" s="29"/>
    </row>
    <row r="37" spans="4:13" x14ac:dyDescent="0.35">
      <c r="D37" s="83" t="s">
        <v>288</v>
      </c>
      <c r="E37" s="90">
        <v>108</v>
      </c>
      <c r="F37" s="29"/>
      <c r="G37" s="29"/>
      <c r="H37" s="29"/>
      <c r="I37" s="29"/>
      <c r="J37" s="29"/>
      <c r="K37" s="29"/>
      <c r="L37" s="29"/>
      <c r="M37" s="29"/>
    </row>
    <row r="38" spans="4:13" x14ac:dyDescent="0.35">
      <c r="D38" s="83"/>
      <c r="E38" s="90"/>
      <c r="F38" s="29"/>
      <c r="G38" s="29"/>
      <c r="H38" s="29"/>
      <c r="I38" s="29"/>
      <c r="J38" s="29"/>
      <c r="K38" s="29"/>
      <c r="L38" s="29"/>
      <c r="M38" s="29"/>
    </row>
    <row r="39" spans="4:13" x14ac:dyDescent="0.35">
      <c r="D39" s="83" t="s">
        <v>289</v>
      </c>
      <c r="E39" s="90">
        <f>SUM(E28:E37)</f>
        <v>904</v>
      </c>
      <c r="F39" s="29"/>
      <c r="G39" s="29"/>
      <c r="H39" s="29"/>
      <c r="I39" s="29"/>
      <c r="J39" s="29"/>
      <c r="K39" s="29"/>
      <c r="L39" s="29"/>
      <c r="M39" s="29"/>
    </row>
    <row r="40" spans="4:13" x14ac:dyDescent="0.35">
      <c r="D40" s="83" t="s">
        <v>0</v>
      </c>
      <c r="E40" s="90">
        <f>MAX(E28:E37)</f>
        <v>320</v>
      </c>
      <c r="F40" s="29"/>
      <c r="G40" s="29"/>
      <c r="H40" s="29"/>
      <c r="I40" s="29"/>
      <c r="J40" s="29"/>
      <c r="K40" s="29"/>
      <c r="L40" s="29"/>
      <c r="M40" s="29"/>
    </row>
    <row r="41" spans="4:13" x14ac:dyDescent="0.35">
      <c r="D41" s="83" t="s">
        <v>290</v>
      </c>
      <c r="E41" s="90">
        <f>MIN(E28:E37)</f>
        <v>25</v>
      </c>
      <c r="F41" s="29"/>
      <c r="G41" s="29"/>
      <c r="H41" s="29"/>
      <c r="I41" s="29"/>
      <c r="J41" s="29"/>
      <c r="K41" s="29"/>
      <c r="L41" s="29"/>
      <c r="M41" s="29"/>
    </row>
  </sheetData>
  <mergeCells count="2">
    <mergeCell ref="E3:N3"/>
    <mergeCell ref="D25:M25"/>
  </mergeCells>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10FEF-1DB9-4C25-9C4D-0C4AD9F52667}">
  <sheetPr>
    <tabColor rgb="FFCC3399"/>
  </sheetPr>
  <dimension ref="C4:P19"/>
  <sheetViews>
    <sheetView topLeftCell="B1" zoomScale="90" zoomScaleNormal="90" workbookViewId="0">
      <selection activeCell="P5" sqref="P5"/>
    </sheetView>
  </sheetViews>
  <sheetFormatPr defaultRowHeight="14.5" x14ac:dyDescent="0.35"/>
  <cols>
    <col min="3" max="3" width="22.26953125" bestFit="1" customWidth="1"/>
    <col min="4" max="6" width="8.81640625" bestFit="1" customWidth="1"/>
    <col min="7" max="7" width="9.1796875" customWidth="1"/>
    <col min="8" max="11" width="8.81640625" bestFit="1" customWidth="1"/>
    <col min="12" max="12" width="9.54296875" bestFit="1" customWidth="1"/>
    <col min="13" max="13" width="8.81640625" bestFit="1" customWidth="1"/>
    <col min="14" max="15" width="9.1796875" bestFit="1" customWidth="1"/>
    <col min="16" max="16" width="11.54296875" customWidth="1"/>
  </cols>
  <sheetData>
    <row r="4" spans="3:16" ht="26" x14ac:dyDescent="0.35">
      <c r="C4" s="29"/>
      <c r="D4" s="29"/>
      <c r="E4" s="29"/>
      <c r="F4" s="165" t="s">
        <v>394</v>
      </c>
      <c r="G4" s="165"/>
      <c r="H4" s="165"/>
      <c r="I4" s="165"/>
      <c r="J4" s="165"/>
      <c r="K4" s="165"/>
      <c r="L4" s="165"/>
      <c r="M4" s="165"/>
      <c r="N4" s="29"/>
      <c r="O4" s="29"/>
      <c r="P4" s="29"/>
    </row>
    <row r="5" spans="3:16" x14ac:dyDescent="0.35">
      <c r="C5" s="29"/>
      <c r="D5" s="29"/>
      <c r="E5" s="29"/>
      <c r="F5" s="29"/>
      <c r="G5" s="29"/>
      <c r="H5" s="29"/>
      <c r="I5" s="29"/>
      <c r="J5" s="29"/>
      <c r="K5" s="29"/>
      <c r="L5" s="29"/>
      <c r="M5" s="29"/>
      <c r="N5" s="29"/>
      <c r="O5" s="29"/>
      <c r="P5" s="29"/>
    </row>
    <row r="6" spans="3:16" x14ac:dyDescent="0.35">
      <c r="C6" s="29"/>
      <c r="D6" s="29" t="s">
        <v>11</v>
      </c>
      <c r="E6" s="29" t="s">
        <v>12</v>
      </c>
      <c r="F6" s="29" t="s">
        <v>13</v>
      </c>
      <c r="G6" s="29" t="s">
        <v>2</v>
      </c>
      <c r="H6" s="29" t="s">
        <v>3</v>
      </c>
      <c r="I6" s="29" t="s">
        <v>4</v>
      </c>
      <c r="J6" s="29" t="s">
        <v>5</v>
      </c>
      <c r="K6" s="29" t="s">
        <v>6</v>
      </c>
      <c r="L6" s="29" t="s">
        <v>7</v>
      </c>
      <c r="M6" s="29" t="s">
        <v>8</v>
      </c>
      <c r="N6" s="29" t="s">
        <v>9</v>
      </c>
      <c r="O6" s="29" t="s">
        <v>10</v>
      </c>
      <c r="P6" s="29" t="s">
        <v>395</v>
      </c>
    </row>
    <row r="7" spans="3:16" x14ac:dyDescent="0.35">
      <c r="C7" s="29" t="s">
        <v>396</v>
      </c>
      <c r="D7" s="84">
        <v>2822.75</v>
      </c>
      <c r="E7" s="84">
        <v>8502.7199999999993</v>
      </c>
      <c r="F7" s="84">
        <v>7503.46</v>
      </c>
      <c r="G7" s="84">
        <v>9268.42</v>
      </c>
      <c r="H7" s="84">
        <v>9135.23</v>
      </c>
      <c r="I7" s="84">
        <v>5823.31</v>
      </c>
      <c r="J7" s="84">
        <v>8279.33</v>
      </c>
      <c r="K7" s="84">
        <v>4423.05</v>
      </c>
      <c r="L7" s="84">
        <v>8479.3700000000008</v>
      </c>
      <c r="M7" s="84">
        <v>9902.0400000000009</v>
      </c>
      <c r="N7" s="84">
        <v>4168.92</v>
      </c>
      <c r="O7" s="84">
        <v>5412.12</v>
      </c>
      <c r="P7" s="84">
        <f t="shared" ref="P7:P17" si="0">SUM(D7:O7)</f>
        <v>83720.72</v>
      </c>
    </row>
    <row r="8" spans="3:16" x14ac:dyDescent="0.35">
      <c r="C8" s="29" t="s">
        <v>397</v>
      </c>
      <c r="D8" s="84">
        <v>72.319999999999993</v>
      </c>
      <c r="E8" s="84">
        <v>175.14999999999998</v>
      </c>
      <c r="F8" s="84">
        <v>161.58999999999997</v>
      </c>
      <c r="G8" s="84">
        <v>192.1</v>
      </c>
      <c r="H8" s="84">
        <v>82.49</v>
      </c>
      <c r="I8" s="84">
        <v>511.88999999999993</v>
      </c>
      <c r="J8" s="84">
        <v>186.45</v>
      </c>
      <c r="K8" s="84">
        <v>116.38999999999999</v>
      </c>
      <c r="L8" s="84">
        <v>181.92999999999998</v>
      </c>
      <c r="M8" s="84">
        <v>249.73</v>
      </c>
      <c r="N8" s="84">
        <v>59.889999999999993</v>
      </c>
      <c r="O8" s="84">
        <v>131.07999999999998</v>
      </c>
      <c r="P8" s="84">
        <f t="shared" si="0"/>
        <v>2121.0100000000002</v>
      </c>
    </row>
    <row r="9" spans="3:16" x14ac:dyDescent="0.35">
      <c r="C9" s="29" t="s">
        <v>398</v>
      </c>
      <c r="D9" s="84">
        <v>122.16</v>
      </c>
      <c r="E9" s="84">
        <v>87.24</v>
      </c>
      <c r="F9" s="84">
        <v>81.34</v>
      </c>
      <c r="G9" s="84">
        <v>81.28</v>
      </c>
      <c r="H9" s="84">
        <v>82.18</v>
      </c>
      <c r="I9" s="84">
        <v>81.96</v>
      </c>
      <c r="J9" s="84">
        <v>87.32</v>
      </c>
      <c r="K9" s="84">
        <v>82.66</v>
      </c>
      <c r="L9" s="84">
        <v>83.4</v>
      </c>
      <c r="M9" s="84">
        <v>83.34</v>
      </c>
      <c r="N9" s="84">
        <v>83.82</v>
      </c>
      <c r="O9" s="84">
        <v>84.02</v>
      </c>
      <c r="P9" s="84">
        <f t="shared" si="0"/>
        <v>1040.72</v>
      </c>
    </row>
    <row r="10" spans="3:16" x14ac:dyDescent="0.35">
      <c r="C10" s="83" t="s">
        <v>399</v>
      </c>
      <c r="D10" s="91">
        <f t="shared" ref="D10:O10" si="1">D7+D9</f>
        <v>2944.91</v>
      </c>
      <c r="E10" s="91">
        <f t="shared" si="1"/>
        <v>8589.9599999999991</v>
      </c>
      <c r="F10" s="91">
        <f t="shared" si="1"/>
        <v>7584.8</v>
      </c>
      <c r="G10" s="91">
        <f t="shared" si="1"/>
        <v>9349.7000000000007</v>
      </c>
      <c r="H10" s="91">
        <f t="shared" si="1"/>
        <v>9217.41</v>
      </c>
      <c r="I10" s="91">
        <f t="shared" si="1"/>
        <v>5905.27</v>
      </c>
      <c r="J10" s="91">
        <f t="shared" si="1"/>
        <v>8366.65</v>
      </c>
      <c r="K10" s="91">
        <f t="shared" si="1"/>
        <v>4505.71</v>
      </c>
      <c r="L10" s="91">
        <f t="shared" si="1"/>
        <v>8562.77</v>
      </c>
      <c r="M10" s="91">
        <f t="shared" si="1"/>
        <v>9985.380000000001</v>
      </c>
      <c r="N10" s="91">
        <f t="shared" si="1"/>
        <v>4252.74</v>
      </c>
      <c r="O10" s="91">
        <f t="shared" si="1"/>
        <v>5496.14</v>
      </c>
      <c r="P10" s="91">
        <f t="shared" si="0"/>
        <v>84761.440000000017</v>
      </c>
    </row>
    <row r="11" spans="3:16" x14ac:dyDescent="0.35">
      <c r="C11" s="29" t="s">
        <v>400</v>
      </c>
      <c r="D11" s="84">
        <v>421</v>
      </c>
      <c r="E11" s="84">
        <v>765</v>
      </c>
      <c r="F11" s="84">
        <v>236</v>
      </c>
      <c r="G11" s="84">
        <v>237</v>
      </c>
      <c r="H11" s="84">
        <v>238</v>
      </c>
      <c r="I11" s="84">
        <v>239</v>
      </c>
      <c r="J11" s="84">
        <v>240</v>
      </c>
      <c r="K11" s="84">
        <v>241</v>
      </c>
      <c r="L11" s="84">
        <v>242</v>
      </c>
      <c r="M11" s="84">
        <v>243</v>
      </c>
      <c r="N11" s="84">
        <v>244</v>
      </c>
      <c r="O11" s="84">
        <v>245</v>
      </c>
      <c r="P11" s="84">
        <f t="shared" si="0"/>
        <v>3591</v>
      </c>
    </row>
    <row r="12" spans="3:16" x14ac:dyDescent="0.35">
      <c r="C12" s="29" t="s">
        <v>401</v>
      </c>
      <c r="D12" s="84">
        <v>85</v>
      </c>
      <c r="E12" s="84">
        <v>956</v>
      </c>
      <c r="F12" s="84">
        <v>236</v>
      </c>
      <c r="G12" s="84">
        <v>237</v>
      </c>
      <c r="H12" s="84">
        <v>238</v>
      </c>
      <c r="I12" s="84">
        <v>239</v>
      </c>
      <c r="J12" s="84">
        <v>240</v>
      </c>
      <c r="K12" s="84">
        <v>241</v>
      </c>
      <c r="L12" s="84">
        <v>242</v>
      </c>
      <c r="M12" s="84">
        <v>243</v>
      </c>
      <c r="N12" s="84">
        <v>437</v>
      </c>
      <c r="O12" s="84">
        <v>245</v>
      </c>
      <c r="P12" s="84">
        <f t="shared" si="0"/>
        <v>3639</v>
      </c>
    </row>
    <row r="13" spans="3:16" x14ac:dyDescent="0.35">
      <c r="C13" s="83" t="s">
        <v>402</v>
      </c>
      <c r="D13" s="91">
        <f t="shared" ref="D13:O13" si="2">SUM(D11:D12)</f>
        <v>506</v>
      </c>
      <c r="E13" s="91">
        <f t="shared" si="2"/>
        <v>1721</v>
      </c>
      <c r="F13" s="91">
        <f t="shared" si="2"/>
        <v>472</v>
      </c>
      <c r="G13" s="91">
        <f t="shared" si="2"/>
        <v>474</v>
      </c>
      <c r="H13" s="91">
        <f t="shared" si="2"/>
        <v>476</v>
      </c>
      <c r="I13" s="91">
        <f t="shared" si="2"/>
        <v>478</v>
      </c>
      <c r="J13" s="91">
        <f t="shared" si="2"/>
        <v>480</v>
      </c>
      <c r="K13" s="91">
        <f t="shared" si="2"/>
        <v>482</v>
      </c>
      <c r="L13" s="91">
        <f t="shared" si="2"/>
        <v>484</v>
      </c>
      <c r="M13" s="91">
        <f t="shared" si="2"/>
        <v>486</v>
      </c>
      <c r="N13" s="91">
        <f t="shared" si="2"/>
        <v>681</v>
      </c>
      <c r="O13" s="91">
        <f t="shared" si="2"/>
        <v>490</v>
      </c>
      <c r="P13" s="91">
        <f t="shared" si="0"/>
        <v>7230</v>
      </c>
    </row>
    <row r="14" spans="3:16" x14ac:dyDescent="0.35">
      <c r="C14" s="29" t="s">
        <v>403</v>
      </c>
      <c r="D14" s="84">
        <v>406.55</v>
      </c>
      <c r="E14" s="84">
        <v>1183.32</v>
      </c>
      <c r="F14" s="84">
        <v>408.28</v>
      </c>
      <c r="G14" s="84">
        <v>410.01</v>
      </c>
      <c r="H14" s="84">
        <v>411.74</v>
      </c>
      <c r="I14" s="84">
        <v>413.46999999999997</v>
      </c>
      <c r="J14" s="84">
        <v>415.2</v>
      </c>
      <c r="K14" s="84">
        <v>416.93</v>
      </c>
      <c r="L14" s="84">
        <v>418.65999999999997</v>
      </c>
      <c r="M14" s="84">
        <v>420.39</v>
      </c>
      <c r="N14" s="84">
        <v>422.12</v>
      </c>
      <c r="O14" s="84">
        <v>1179.8599999999999</v>
      </c>
      <c r="P14" s="84">
        <f t="shared" si="0"/>
        <v>6506.5299999999988</v>
      </c>
    </row>
    <row r="15" spans="3:16" x14ac:dyDescent="0.35">
      <c r="C15" s="29" t="s">
        <v>404</v>
      </c>
      <c r="D15" s="84">
        <v>175</v>
      </c>
      <c r="E15" s="84">
        <v>652</v>
      </c>
      <c r="F15" s="84">
        <v>236</v>
      </c>
      <c r="G15" s="84">
        <v>237</v>
      </c>
      <c r="H15" s="84">
        <v>238</v>
      </c>
      <c r="I15" s="84">
        <v>239</v>
      </c>
      <c r="J15" s="84">
        <v>240</v>
      </c>
      <c r="K15" s="84">
        <v>241</v>
      </c>
      <c r="L15" s="84">
        <v>242</v>
      </c>
      <c r="M15" s="84">
        <v>243</v>
      </c>
      <c r="N15" s="84">
        <v>244</v>
      </c>
      <c r="O15" s="84">
        <v>245</v>
      </c>
      <c r="P15" s="84">
        <f t="shared" si="0"/>
        <v>3232</v>
      </c>
    </row>
    <row r="16" spans="3:16" x14ac:dyDescent="0.35">
      <c r="C16" s="83" t="s">
        <v>405</v>
      </c>
      <c r="D16" s="91">
        <f t="shared" ref="D16:O16" si="3">SUM(D14:D15)</f>
        <v>581.54999999999995</v>
      </c>
      <c r="E16" s="91">
        <f t="shared" si="3"/>
        <v>1835.32</v>
      </c>
      <c r="F16" s="91">
        <f t="shared" si="3"/>
        <v>644.28</v>
      </c>
      <c r="G16" s="91">
        <f t="shared" si="3"/>
        <v>647.01</v>
      </c>
      <c r="H16" s="91">
        <f t="shared" si="3"/>
        <v>649.74</v>
      </c>
      <c r="I16" s="91">
        <f t="shared" si="3"/>
        <v>652.47</v>
      </c>
      <c r="J16" s="91">
        <f t="shared" si="3"/>
        <v>655.20000000000005</v>
      </c>
      <c r="K16" s="91">
        <f t="shared" si="3"/>
        <v>657.93000000000006</v>
      </c>
      <c r="L16" s="91">
        <f t="shared" si="3"/>
        <v>660.66</v>
      </c>
      <c r="M16" s="91">
        <f t="shared" si="3"/>
        <v>663.39</v>
      </c>
      <c r="N16" s="91">
        <f t="shared" si="3"/>
        <v>666.12</v>
      </c>
      <c r="O16" s="91">
        <f t="shared" si="3"/>
        <v>1424.86</v>
      </c>
      <c r="P16" s="91">
        <f t="shared" si="0"/>
        <v>9738.5300000000007</v>
      </c>
    </row>
    <row r="17" spans="3:16" x14ac:dyDescent="0.35">
      <c r="C17" s="83" t="s">
        <v>406</v>
      </c>
      <c r="D17" s="84">
        <v>0</v>
      </c>
      <c r="E17" s="84">
        <v>0</v>
      </c>
      <c r="F17" s="84">
        <v>0</v>
      </c>
      <c r="G17" s="84">
        <v>0</v>
      </c>
      <c r="H17" s="84">
        <v>0</v>
      </c>
      <c r="I17" s="84">
        <v>0</v>
      </c>
      <c r="J17" s="84">
        <v>0</v>
      </c>
      <c r="K17" s="84">
        <v>0</v>
      </c>
      <c r="L17" s="84">
        <v>0</v>
      </c>
      <c r="M17" s="84">
        <v>0</v>
      </c>
      <c r="N17" s="84">
        <v>0</v>
      </c>
      <c r="O17" s="84">
        <v>0</v>
      </c>
      <c r="P17" s="84">
        <f t="shared" si="0"/>
        <v>0</v>
      </c>
    </row>
    <row r="18" spans="3:16" x14ac:dyDescent="0.35">
      <c r="C18" s="83" t="s">
        <v>407</v>
      </c>
      <c r="D18" s="91">
        <f t="shared" ref="D18:O18" si="4">((D10-D13)-D16)-D17</f>
        <v>1857.36</v>
      </c>
      <c r="E18" s="91">
        <f t="shared" si="4"/>
        <v>5033.6399999999994</v>
      </c>
      <c r="F18" s="91">
        <f t="shared" si="4"/>
        <v>6468.52</v>
      </c>
      <c r="G18" s="91">
        <f t="shared" si="4"/>
        <v>8228.69</v>
      </c>
      <c r="H18" s="91">
        <f t="shared" si="4"/>
        <v>8091.67</v>
      </c>
      <c r="I18" s="91">
        <f t="shared" si="4"/>
        <v>4774.8</v>
      </c>
      <c r="J18" s="91">
        <f t="shared" si="4"/>
        <v>7231.45</v>
      </c>
      <c r="K18" s="91">
        <f t="shared" si="4"/>
        <v>3365.7799999999997</v>
      </c>
      <c r="L18" s="91">
        <f t="shared" si="4"/>
        <v>7418.1100000000006</v>
      </c>
      <c r="M18" s="91">
        <f t="shared" si="4"/>
        <v>8835.9900000000016</v>
      </c>
      <c r="N18" s="91">
        <f t="shared" si="4"/>
        <v>2905.62</v>
      </c>
      <c r="O18" s="91">
        <f t="shared" si="4"/>
        <v>3581.2800000000007</v>
      </c>
      <c r="P18" s="91">
        <f>(P10-P13)-P16</f>
        <v>67792.910000000018</v>
      </c>
    </row>
    <row r="19" spans="3:16" x14ac:dyDescent="0.35">
      <c r="C19" s="83" t="s">
        <v>408</v>
      </c>
      <c r="D19" s="91">
        <f t="shared" ref="D19:P19" si="5">D10-D18</f>
        <v>1087.55</v>
      </c>
      <c r="E19" s="91">
        <f t="shared" si="5"/>
        <v>3556.3199999999997</v>
      </c>
      <c r="F19" s="91">
        <f t="shared" si="5"/>
        <v>1116.2799999999997</v>
      </c>
      <c r="G19" s="91">
        <f t="shared" si="5"/>
        <v>1121.0100000000002</v>
      </c>
      <c r="H19" s="91">
        <f t="shared" si="5"/>
        <v>1125.7399999999998</v>
      </c>
      <c r="I19" s="91">
        <f t="shared" si="5"/>
        <v>1130.4700000000003</v>
      </c>
      <c r="J19" s="91">
        <f t="shared" si="5"/>
        <v>1135.1999999999998</v>
      </c>
      <c r="K19" s="91">
        <f t="shared" si="5"/>
        <v>1139.9300000000003</v>
      </c>
      <c r="L19" s="91">
        <f t="shared" si="5"/>
        <v>1144.6599999999999</v>
      </c>
      <c r="M19" s="91">
        <f t="shared" si="5"/>
        <v>1149.3899999999994</v>
      </c>
      <c r="N19" s="91">
        <f t="shared" si="5"/>
        <v>1347.12</v>
      </c>
      <c r="O19" s="91">
        <f t="shared" si="5"/>
        <v>1914.8599999999997</v>
      </c>
      <c r="P19" s="91">
        <f t="shared" si="5"/>
        <v>16968.53</v>
      </c>
    </row>
  </sheetData>
  <mergeCells count="1">
    <mergeCell ref="F4:M4"/>
  </mergeCells>
  <phoneticPr fontId="26"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C4623-4D18-4E29-9A33-1855AF967C1A}">
  <sheetPr>
    <tabColor rgb="FFFF0000"/>
  </sheetPr>
  <dimension ref="C3:O84"/>
  <sheetViews>
    <sheetView topLeftCell="A17" zoomScaleNormal="100" workbookViewId="0">
      <selection activeCell="H20" sqref="H20"/>
    </sheetView>
  </sheetViews>
  <sheetFormatPr defaultColWidth="9.1796875" defaultRowHeight="14.5" x14ac:dyDescent="0.35"/>
  <cols>
    <col min="1" max="2" width="9.1796875" style="25"/>
    <col min="3" max="3" width="11.54296875" style="25" customWidth="1"/>
    <col min="4" max="4" width="11.26953125" style="25" customWidth="1"/>
    <col min="5" max="5" width="14.1796875" style="25" customWidth="1"/>
    <col min="6" max="6" width="15.7265625" style="25" customWidth="1"/>
    <col min="7" max="7" width="14.81640625" style="25" customWidth="1"/>
    <col min="8" max="8" width="16.36328125" style="25" customWidth="1"/>
    <col min="9" max="9" width="16.1796875" style="25" customWidth="1"/>
    <col min="10" max="10" width="14.08984375" style="25" customWidth="1"/>
    <col min="11" max="11" width="17.81640625" style="25" customWidth="1"/>
    <col min="12" max="12" width="16.81640625" style="25" customWidth="1"/>
    <col min="13" max="13" width="16.90625" style="25" customWidth="1"/>
    <col min="14" max="14" width="17.6328125" style="25" customWidth="1"/>
    <col min="15" max="15" width="18.6328125" style="25" customWidth="1"/>
    <col min="16" max="16" width="18.90625" style="25" customWidth="1"/>
    <col min="17" max="16384" width="9.1796875" style="25"/>
  </cols>
  <sheetData>
    <row r="3" spans="3:15" ht="26" x14ac:dyDescent="0.6">
      <c r="C3" s="166" t="s">
        <v>452</v>
      </c>
      <c r="D3" s="167"/>
      <c r="E3" s="167"/>
      <c r="F3" s="167"/>
      <c r="G3" s="167"/>
      <c r="H3" s="167"/>
      <c r="I3" s="167"/>
      <c r="J3" s="167"/>
      <c r="K3" s="168"/>
    </row>
    <row r="7" spans="3:15" x14ac:dyDescent="0.35">
      <c r="J7" s="104"/>
      <c r="K7" s="104"/>
      <c r="L7" s="104"/>
    </row>
    <row r="8" spans="3:15" x14ac:dyDescent="0.35">
      <c r="J8" s="104"/>
      <c r="K8" s="104"/>
      <c r="L8" s="104"/>
    </row>
    <row r="9" spans="3:15" x14ac:dyDescent="0.35">
      <c r="J9" s="104"/>
      <c r="K9" s="104"/>
      <c r="L9" s="104"/>
    </row>
    <row r="10" spans="3:15" x14ac:dyDescent="0.35">
      <c r="J10" s="104"/>
      <c r="K10" s="104"/>
      <c r="L10" s="104"/>
    </row>
    <row r="11" spans="3:15" x14ac:dyDescent="0.35">
      <c r="J11" s="104"/>
      <c r="K11" s="104"/>
      <c r="L11" s="104"/>
    </row>
    <row r="12" spans="3:15" x14ac:dyDescent="0.35">
      <c r="J12" s="104"/>
      <c r="K12" s="104"/>
      <c r="L12" s="104"/>
    </row>
    <row r="13" spans="3:15" x14ac:dyDescent="0.35">
      <c r="J13" s="104"/>
      <c r="K13" s="104"/>
      <c r="L13" s="104"/>
    </row>
    <row r="14" spans="3:15" x14ac:dyDescent="0.35">
      <c r="J14" s="104"/>
    </row>
    <row r="15" spans="3:15" ht="18.5" x14ac:dyDescent="0.45">
      <c r="E15" s="169" t="s">
        <v>473</v>
      </c>
      <c r="F15" s="170"/>
      <c r="G15" s="170"/>
      <c r="H15" s="170"/>
      <c r="J15" s="169" t="s">
        <v>472</v>
      </c>
      <c r="K15" s="170"/>
      <c r="L15" s="170"/>
      <c r="M15" s="170"/>
      <c r="N15" s="170"/>
      <c r="O15" s="171"/>
    </row>
    <row r="17" spans="5:15" x14ac:dyDescent="0.35">
      <c r="E17" s="105" t="s">
        <v>64</v>
      </c>
      <c r="F17" s="105" t="s">
        <v>453</v>
      </c>
      <c r="G17" s="105" t="s">
        <v>454</v>
      </c>
      <c r="H17" s="105" t="s">
        <v>455</v>
      </c>
      <c r="J17" s="105" t="s">
        <v>64</v>
      </c>
      <c r="K17" s="105" t="s">
        <v>474</v>
      </c>
      <c r="L17" s="105" t="s">
        <v>475</v>
      </c>
      <c r="M17" s="105" t="s">
        <v>476</v>
      </c>
      <c r="N17" s="105" t="s">
        <v>477</v>
      </c>
      <c r="O17" s="105" t="s">
        <v>478</v>
      </c>
    </row>
    <row r="18" spans="5:15" x14ac:dyDescent="0.35">
      <c r="E18" s="105" t="s">
        <v>456</v>
      </c>
      <c r="F18" s="106">
        <v>45</v>
      </c>
      <c r="G18" s="106">
        <v>73</v>
      </c>
      <c r="H18" s="106" t="str">
        <f>IF(AND(F18&gt;=70,G18&gt;=70),"Pass","Fail")</f>
        <v>Fail</v>
      </c>
      <c r="J18" s="105" t="s">
        <v>479</v>
      </c>
      <c r="K18" s="106">
        <v>68.63</v>
      </c>
      <c r="L18" s="106">
        <v>92.85</v>
      </c>
      <c r="M18" s="106">
        <v>71.209999999999994</v>
      </c>
      <c r="N18" s="106">
        <v>38.49</v>
      </c>
      <c r="O18" s="106" t="str">
        <f>IF(OR(K18&lt;35,L18&lt;35,M18&lt;35,N18&lt;35),"Low Yield","Yield hit")</f>
        <v>Yield hit</v>
      </c>
    </row>
    <row r="19" spans="5:15" x14ac:dyDescent="0.35">
      <c r="E19" s="105" t="s">
        <v>457</v>
      </c>
      <c r="F19" s="106">
        <v>73</v>
      </c>
      <c r="G19" s="106">
        <v>75</v>
      </c>
      <c r="H19" s="106" t="str">
        <f t="shared" ref="H19:H25" si="0">IF(AND(F19&gt;=70,G19&gt;=70),"Pass","Fail")</f>
        <v>Pass</v>
      </c>
      <c r="J19" s="105" t="s">
        <v>480</v>
      </c>
      <c r="K19" s="106">
        <v>27.84</v>
      </c>
      <c r="L19" s="106">
        <v>63.54</v>
      </c>
      <c r="M19" s="106">
        <v>61.28</v>
      </c>
      <c r="N19" s="106">
        <v>44.31</v>
      </c>
      <c r="O19" s="106" t="str">
        <f t="shared" ref="O19:O25" si="1">IF(OR(K19&lt;35,L19&lt;35,M19&lt;35,N19&lt;35),"Low Yield","Yield hit")</f>
        <v>Low Yield</v>
      </c>
    </row>
    <row r="20" spans="5:15" x14ac:dyDescent="0.35">
      <c r="E20" s="105" t="s">
        <v>458</v>
      </c>
      <c r="F20" s="106">
        <v>76</v>
      </c>
      <c r="G20" s="106">
        <v>50</v>
      </c>
      <c r="H20" s="106" t="str">
        <f t="shared" si="0"/>
        <v>Fail</v>
      </c>
      <c r="J20" s="105" t="s">
        <v>481</v>
      </c>
      <c r="K20" s="106">
        <v>17.850000000000001</v>
      </c>
      <c r="L20" s="106">
        <v>94.31</v>
      </c>
      <c r="M20" s="106">
        <v>29.06</v>
      </c>
      <c r="N20" s="106">
        <v>41.67</v>
      </c>
      <c r="O20" s="106" t="str">
        <f t="shared" si="1"/>
        <v>Low Yield</v>
      </c>
    </row>
    <row r="21" spans="5:15" x14ac:dyDescent="0.35">
      <c r="E21" s="105" t="s">
        <v>459</v>
      </c>
      <c r="F21" s="106">
        <v>45</v>
      </c>
      <c r="G21" s="106">
        <v>73</v>
      </c>
      <c r="H21" s="106" t="str">
        <f t="shared" si="0"/>
        <v>Fail</v>
      </c>
      <c r="J21" s="105" t="s">
        <v>482</v>
      </c>
      <c r="K21" s="106">
        <v>94.33</v>
      </c>
      <c r="L21" s="106">
        <v>71.08</v>
      </c>
      <c r="M21" s="106">
        <v>34.25</v>
      </c>
      <c r="N21" s="106">
        <v>69.25</v>
      </c>
      <c r="O21" s="106" t="str">
        <f t="shared" si="1"/>
        <v>Low Yield</v>
      </c>
    </row>
    <row r="22" spans="5:15" x14ac:dyDescent="0.35">
      <c r="E22" s="105" t="s">
        <v>460</v>
      </c>
      <c r="F22" s="106">
        <v>33</v>
      </c>
      <c r="G22" s="106">
        <v>44</v>
      </c>
      <c r="H22" s="106" t="str">
        <f t="shared" si="0"/>
        <v>Fail</v>
      </c>
      <c r="J22" s="105" t="s">
        <v>483</v>
      </c>
      <c r="K22" s="106">
        <v>24.84</v>
      </c>
      <c r="L22" s="106">
        <v>63.59</v>
      </c>
      <c r="M22" s="106">
        <v>61.28</v>
      </c>
      <c r="N22" s="106">
        <v>49.31</v>
      </c>
      <c r="O22" s="106" t="str">
        <f t="shared" si="1"/>
        <v>Low Yield</v>
      </c>
    </row>
    <row r="23" spans="5:15" ht="15.5" customHeight="1" x14ac:dyDescent="0.35">
      <c r="E23" s="105" t="s">
        <v>461</v>
      </c>
      <c r="F23" s="106">
        <v>79</v>
      </c>
      <c r="G23" s="106">
        <v>45</v>
      </c>
      <c r="H23" s="106" t="str">
        <f t="shared" si="0"/>
        <v>Fail</v>
      </c>
      <c r="J23" s="105" t="s">
        <v>484</v>
      </c>
      <c r="K23" s="106">
        <v>91.33</v>
      </c>
      <c r="L23" s="106">
        <v>71.25</v>
      </c>
      <c r="M23" s="106">
        <v>42.38</v>
      </c>
      <c r="N23" s="106">
        <v>70.849999999999994</v>
      </c>
      <c r="O23" s="106" t="str">
        <f t="shared" si="1"/>
        <v>Yield hit</v>
      </c>
    </row>
    <row r="24" spans="5:15" x14ac:dyDescent="0.35">
      <c r="E24" s="105" t="s">
        <v>462</v>
      </c>
      <c r="F24" s="106">
        <v>96</v>
      </c>
      <c r="G24" s="106">
        <v>68</v>
      </c>
      <c r="H24" s="106" t="str">
        <f t="shared" si="0"/>
        <v>Fail</v>
      </c>
      <c r="J24" s="105" t="s">
        <v>486</v>
      </c>
      <c r="K24" s="106">
        <v>19.850000000000001</v>
      </c>
      <c r="L24" s="106">
        <v>94.46</v>
      </c>
      <c r="M24" s="106">
        <v>39.06</v>
      </c>
      <c r="N24" s="106">
        <v>41.67</v>
      </c>
      <c r="O24" s="106" t="str">
        <f t="shared" si="1"/>
        <v>Low Yield</v>
      </c>
    </row>
    <row r="25" spans="5:15" x14ac:dyDescent="0.35">
      <c r="E25" s="105" t="s">
        <v>463</v>
      </c>
      <c r="F25" s="106">
        <v>73</v>
      </c>
      <c r="G25" s="106">
        <v>71</v>
      </c>
      <c r="H25" s="106" t="str">
        <f t="shared" si="0"/>
        <v>Pass</v>
      </c>
      <c r="J25" s="105" t="s">
        <v>485</v>
      </c>
      <c r="K25" s="106">
        <v>73.63</v>
      </c>
      <c r="L25" s="106">
        <v>98.85</v>
      </c>
      <c r="M25" s="106">
        <v>71.650000000000006</v>
      </c>
      <c r="N25" s="106">
        <v>38.25</v>
      </c>
      <c r="O25" s="106" t="str">
        <f t="shared" si="1"/>
        <v>Yield hit</v>
      </c>
    </row>
    <row r="27" spans="5:15" x14ac:dyDescent="0.35">
      <c r="E27" s="175" t="s">
        <v>468</v>
      </c>
      <c r="F27" s="175" t="s">
        <v>464</v>
      </c>
      <c r="G27" s="107" t="s">
        <v>465</v>
      </c>
      <c r="H27" s="107" t="s">
        <v>466</v>
      </c>
    </row>
    <row r="28" spans="5:15" x14ac:dyDescent="0.35">
      <c r="E28" s="176"/>
      <c r="F28" s="176"/>
      <c r="G28" s="106">
        <v>7</v>
      </c>
      <c r="H28" s="108">
        <v>700</v>
      </c>
    </row>
    <row r="30" spans="5:15" x14ac:dyDescent="0.35">
      <c r="E30" s="105" t="s">
        <v>64</v>
      </c>
      <c r="F30" s="105" t="s">
        <v>465</v>
      </c>
      <c r="G30" s="105" t="s">
        <v>467</v>
      </c>
      <c r="H30" s="105" t="s">
        <v>455</v>
      </c>
    </row>
    <row r="31" spans="5:15" x14ac:dyDescent="0.35">
      <c r="E31" s="105" t="s">
        <v>456</v>
      </c>
      <c r="F31" s="106">
        <v>7</v>
      </c>
      <c r="G31" s="108">
        <v>823</v>
      </c>
      <c r="H31" s="106" t="str">
        <f>IF(AND(F31&lt;=$G$28,G31&gt;=$H$28),"Target hit","Target not hit")</f>
        <v>Target hit</v>
      </c>
    </row>
    <row r="32" spans="5:15" x14ac:dyDescent="0.35">
      <c r="E32" s="105" t="s">
        <v>457</v>
      </c>
      <c r="F32" s="106">
        <v>6</v>
      </c>
      <c r="G32" s="108">
        <v>932</v>
      </c>
      <c r="H32" s="106" t="str">
        <f t="shared" ref="H32:H34" si="2">IF(AND(F32&lt;=$G$28,G32&gt;=$H$28),"Target hit","Target not hit")</f>
        <v>Target hit</v>
      </c>
    </row>
    <row r="33" spans="5:15" x14ac:dyDescent="0.35">
      <c r="E33" s="105" t="s">
        <v>458</v>
      </c>
      <c r="F33" s="106">
        <v>4</v>
      </c>
      <c r="G33" s="108">
        <v>433</v>
      </c>
      <c r="H33" s="106" t="str">
        <f t="shared" si="2"/>
        <v>Target not hit</v>
      </c>
    </row>
    <row r="34" spans="5:15" x14ac:dyDescent="0.35">
      <c r="E34" s="105" t="s">
        <v>459</v>
      </c>
      <c r="F34" s="106">
        <v>6</v>
      </c>
      <c r="G34" s="108">
        <v>531</v>
      </c>
      <c r="H34" s="106" t="str">
        <f t="shared" si="2"/>
        <v>Target not hit</v>
      </c>
    </row>
    <row r="36" spans="5:15" ht="18.5" x14ac:dyDescent="0.45">
      <c r="E36" s="169" t="s">
        <v>470</v>
      </c>
      <c r="F36" s="170"/>
      <c r="G36" s="170"/>
      <c r="H36" s="171"/>
    </row>
    <row r="38" spans="5:15" x14ac:dyDescent="0.35">
      <c r="E38" s="105" t="s">
        <v>64</v>
      </c>
      <c r="F38" s="105" t="s">
        <v>453</v>
      </c>
      <c r="G38" s="105" t="s">
        <v>454</v>
      </c>
      <c r="H38" s="105" t="s">
        <v>455</v>
      </c>
    </row>
    <row r="39" spans="5:15" x14ac:dyDescent="0.35">
      <c r="E39" s="106" t="s">
        <v>456</v>
      </c>
      <c r="F39" s="106">
        <v>45</v>
      </c>
      <c r="G39" s="106">
        <v>73</v>
      </c>
      <c r="H39" s="106" t="str">
        <f>IF(AND(F39&gt;=70,G39&gt;=70),"Pass",IF(OR(F39&gt;=70,G39&gt;=70),"Partial Pass","Fail"))</f>
        <v>Partial Pass</v>
      </c>
    </row>
    <row r="40" spans="5:15" ht="16.5" customHeight="1" x14ac:dyDescent="0.35">
      <c r="E40" s="106" t="s">
        <v>457</v>
      </c>
      <c r="F40" s="106">
        <v>73</v>
      </c>
      <c r="G40" s="106">
        <v>75</v>
      </c>
      <c r="H40" s="106" t="str">
        <f>IF(AND(F40&gt;=70,G40&gt;=70),"Pass",IF(OR(F40&gt;=70,G40&gt;=70),"Partial Pass","Fail"))</f>
        <v>Pass</v>
      </c>
    </row>
    <row r="41" spans="5:15" x14ac:dyDescent="0.35">
      <c r="E41" s="106" t="s">
        <v>458</v>
      </c>
      <c r="F41" s="106">
        <v>76</v>
      </c>
      <c r="G41" s="106">
        <v>50</v>
      </c>
      <c r="H41" s="106" t="str">
        <f t="shared" ref="H41:H46" si="3">IF(AND(F41&gt;=70,G41&gt;=70),"Pass",IF(OR(F41&gt;=70,G41&gt;=70),"Partial Pass","Fail"))</f>
        <v>Partial Pass</v>
      </c>
    </row>
    <row r="42" spans="5:15" x14ac:dyDescent="0.35">
      <c r="E42" s="106" t="s">
        <v>459</v>
      </c>
      <c r="F42" s="106">
        <v>45</v>
      </c>
      <c r="G42" s="106">
        <v>73</v>
      </c>
      <c r="H42" s="106" t="str">
        <f t="shared" si="3"/>
        <v>Partial Pass</v>
      </c>
    </row>
    <row r="43" spans="5:15" x14ac:dyDescent="0.35">
      <c r="E43" s="106" t="s">
        <v>460</v>
      </c>
      <c r="F43" s="106">
        <v>33</v>
      </c>
      <c r="G43" s="106">
        <v>44</v>
      </c>
      <c r="H43" s="106" t="str">
        <f t="shared" si="3"/>
        <v>Fail</v>
      </c>
    </row>
    <row r="44" spans="5:15" x14ac:dyDescent="0.35">
      <c r="E44" s="106" t="s">
        <v>461</v>
      </c>
      <c r="F44" s="106">
        <v>79</v>
      </c>
      <c r="G44" s="106">
        <v>45</v>
      </c>
      <c r="H44" s="106" t="str">
        <f t="shared" si="3"/>
        <v>Partial Pass</v>
      </c>
    </row>
    <row r="45" spans="5:15" x14ac:dyDescent="0.35">
      <c r="E45" s="106" t="s">
        <v>462</v>
      </c>
      <c r="F45" s="106">
        <v>96</v>
      </c>
      <c r="G45" s="106">
        <v>68</v>
      </c>
      <c r="H45" s="106" t="str">
        <f t="shared" si="3"/>
        <v>Partial Pass</v>
      </c>
    </row>
    <row r="46" spans="5:15" x14ac:dyDescent="0.35">
      <c r="E46" s="106" t="s">
        <v>463</v>
      </c>
      <c r="F46" s="106">
        <v>73</v>
      </c>
      <c r="G46" s="106">
        <v>71</v>
      </c>
      <c r="H46" s="106" t="str">
        <f t="shared" si="3"/>
        <v>Pass</v>
      </c>
    </row>
    <row r="48" spans="5:15" x14ac:dyDescent="0.35">
      <c r="O48" s="109"/>
    </row>
    <row r="49" spans="5:15" ht="21" x14ac:dyDescent="0.5">
      <c r="E49" s="172" t="s">
        <v>439</v>
      </c>
      <c r="F49" s="173"/>
      <c r="G49" s="173"/>
      <c r="H49" s="173"/>
      <c r="J49" s="172" t="s">
        <v>439</v>
      </c>
      <c r="K49" s="173"/>
      <c r="L49" s="173"/>
      <c r="M49" s="173"/>
      <c r="N49" s="173"/>
      <c r="O49" s="174"/>
    </row>
    <row r="51" spans="5:15" ht="18.5" x14ac:dyDescent="0.45">
      <c r="E51" s="169" t="s">
        <v>471</v>
      </c>
      <c r="F51" s="170"/>
      <c r="G51" s="170"/>
      <c r="H51" s="170"/>
      <c r="J51" s="169" t="s">
        <v>472</v>
      </c>
      <c r="K51" s="170"/>
      <c r="L51" s="170"/>
      <c r="M51" s="170"/>
      <c r="N51" s="170"/>
      <c r="O51" s="171"/>
    </row>
    <row r="53" spans="5:15" x14ac:dyDescent="0.35">
      <c r="E53" s="105" t="s">
        <v>64</v>
      </c>
      <c r="F53" s="105" t="s">
        <v>453</v>
      </c>
      <c r="G53" s="105" t="s">
        <v>454</v>
      </c>
      <c r="H53" s="105" t="s">
        <v>455</v>
      </c>
      <c r="J53" s="105" t="s">
        <v>64</v>
      </c>
      <c r="K53" s="105" t="s">
        <v>474</v>
      </c>
      <c r="L53" s="105" t="s">
        <v>475</v>
      </c>
      <c r="M53" s="105" t="s">
        <v>476</v>
      </c>
      <c r="N53" s="105" t="s">
        <v>477</v>
      </c>
      <c r="O53" s="105" t="s">
        <v>478</v>
      </c>
    </row>
    <row r="54" spans="5:15" x14ac:dyDescent="0.35">
      <c r="E54" s="105" t="s">
        <v>456</v>
      </c>
      <c r="F54" s="106">
        <v>45</v>
      </c>
      <c r="G54" s="106">
        <v>73</v>
      </c>
      <c r="H54" s="106" t="str">
        <f>IF(AND(F54&gt;=70,G54&gt;=70),"Pass","Fail")</f>
        <v>Fail</v>
      </c>
      <c r="J54" s="105" t="s">
        <v>479</v>
      </c>
      <c r="K54" s="106">
        <v>68.63</v>
      </c>
      <c r="L54" s="106">
        <v>92.85</v>
      </c>
      <c r="M54" s="106">
        <v>71.209999999999994</v>
      </c>
      <c r="N54" s="106">
        <v>38.49</v>
      </c>
      <c r="O54" s="106" t="str">
        <f>IF(OR(K54&lt;35,L54&lt;35,M54&lt;35,N54&lt;35),"LESS YIELD","YIELD HIT")</f>
        <v>YIELD HIT</v>
      </c>
    </row>
    <row r="55" spans="5:15" x14ac:dyDescent="0.35">
      <c r="E55" s="105" t="s">
        <v>457</v>
      </c>
      <c r="F55" s="106">
        <v>73</v>
      </c>
      <c r="G55" s="106">
        <v>75</v>
      </c>
      <c r="H55" s="106" t="str">
        <f t="shared" ref="H55:H61" si="4">IF(AND(F55&gt;=70,G55&gt;=70),"Pass","Fail")</f>
        <v>Pass</v>
      </c>
      <c r="J55" s="105" t="s">
        <v>480</v>
      </c>
      <c r="K55" s="106">
        <v>27.84</v>
      </c>
      <c r="L55" s="106">
        <v>63.54</v>
      </c>
      <c r="M55" s="106">
        <v>61.28</v>
      </c>
      <c r="N55" s="106">
        <v>44.31</v>
      </c>
      <c r="O55" s="106" t="str">
        <f t="shared" ref="O55:O61" si="5">IF(OR(K55&lt;35,L55&lt;35,M55&lt;35,N55&lt;35),"LESS YIELD","YIELD HIT")</f>
        <v>LESS YIELD</v>
      </c>
    </row>
    <row r="56" spans="5:15" x14ac:dyDescent="0.35">
      <c r="E56" s="105" t="s">
        <v>458</v>
      </c>
      <c r="F56" s="106">
        <v>76</v>
      </c>
      <c r="G56" s="106">
        <v>50</v>
      </c>
      <c r="H56" s="106" t="str">
        <f t="shared" si="4"/>
        <v>Fail</v>
      </c>
      <c r="J56" s="105" t="s">
        <v>481</v>
      </c>
      <c r="K56" s="106">
        <v>17.850000000000001</v>
      </c>
      <c r="L56" s="106">
        <v>94.31</v>
      </c>
      <c r="M56" s="106">
        <v>29.06</v>
      </c>
      <c r="N56" s="106">
        <v>41.67</v>
      </c>
      <c r="O56" s="106" t="str">
        <f t="shared" si="5"/>
        <v>LESS YIELD</v>
      </c>
    </row>
    <row r="57" spans="5:15" x14ac:dyDescent="0.35">
      <c r="E57" s="105" t="s">
        <v>459</v>
      </c>
      <c r="F57" s="106">
        <v>45</v>
      </c>
      <c r="G57" s="106">
        <v>73</v>
      </c>
      <c r="H57" s="106" t="str">
        <f t="shared" si="4"/>
        <v>Fail</v>
      </c>
      <c r="J57" s="105" t="s">
        <v>482</v>
      </c>
      <c r="K57" s="106">
        <v>94.33</v>
      </c>
      <c r="L57" s="106">
        <v>71.08</v>
      </c>
      <c r="M57" s="106">
        <v>34.25</v>
      </c>
      <c r="N57" s="106">
        <v>69.25</v>
      </c>
      <c r="O57" s="106" t="str">
        <f t="shared" si="5"/>
        <v>LESS YIELD</v>
      </c>
    </row>
    <row r="58" spans="5:15" x14ac:dyDescent="0.35">
      <c r="E58" s="105" t="s">
        <v>460</v>
      </c>
      <c r="F58" s="106">
        <v>33</v>
      </c>
      <c r="G58" s="106">
        <v>44</v>
      </c>
      <c r="H58" s="106" t="str">
        <f t="shared" si="4"/>
        <v>Fail</v>
      </c>
      <c r="J58" s="105" t="s">
        <v>483</v>
      </c>
      <c r="K58" s="106">
        <v>24.84</v>
      </c>
      <c r="L58" s="106">
        <v>63.59</v>
      </c>
      <c r="M58" s="106">
        <v>61.28</v>
      </c>
      <c r="N58" s="106">
        <v>49.31</v>
      </c>
      <c r="O58" s="106" t="str">
        <f t="shared" si="5"/>
        <v>LESS YIELD</v>
      </c>
    </row>
    <row r="59" spans="5:15" x14ac:dyDescent="0.35">
      <c r="E59" s="105" t="s">
        <v>461</v>
      </c>
      <c r="F59" s="106">
        <v>79</v>
      </c>
      <c r="G59" s="106">
        <v>45</v>
      </c>
      <c r="H59" s="106" t="str">
        <f t="shared" si="4"/>
        <v>Fail</v>
      </c>
      <c r="J59" s="105" t="s">
        <v>484</v>
      </c>
      <c r="K59" s="106">
        <v>91.33</v>
      </c>
      <c r="L59" s="106">
        <v>71.25</v>
      </c>
      <c r="M59" s="106">
        <v>42.38</v>
      </c>
      <c r="N59" s="106">
        <v>70.849999999999994</v>
      </c>
      <c r="O59" s="106" t="str">
        <f t="shared" si="5"/>
        <v>YIELD HIT</v>
      </c>
    </row>
    <row r="60" spans="5:15" x14ac:dyDescent="0.35">
      <c r="E60" s="105" t="s">
        <v>462</v>
      </c>
      <c r="F60" s="106">
        <v>96</v>
      </c>
      <c r="G60" s="106">
        <v>68</v>
      </c>
      <c r="H60" s="106" t="str">
        <f t="shared" si="4"/>
        <v>Fail</v>
      </c>
      <c r="J60" s="105" t="s">
        <v>486</v>
      </c>
      <c r="K60" s="106">
        <v>19.850000000000001</v>
      </c>
      <c r="L60" s="106">
        <v>94.46</v>
      </c>
      <c r="M60" s="106">
        <v>39.06</v>
      </c>
      <c r="N60" s="106">
        <v>41.67</v>
      </c>
      <c r="O60" s="106" t="str">
        <f t="shared" si="5"/>
        <v>LESS YIELD</v>
      </c>
    </row>
    <row r="61" spans="5:15" x14ac:dyDescent="0.35">
      <c r="E61" s="105" t="s">
        <v>463</v>
      </c>
      <c r="F61" s="106">
        <v>73</v>
      </c>
      <c r="G61" s="106">
        <v>71</v>
      </c>
      <c r="H61" s="106" t="str">
        <f t="shared" si="4"/>
        <v>Pass</v>
      </c>
      <c r="J61" s="105" t="s">
        <v>485</v>
      </c>
      <c r="K61" s="106">
        <v>73.63</v>
      </c>
      <c r="L61" s="106">
        <v>98.85</v>
      </c>
      <c r="M61" s="106">
        <v>71.650000000000006</v>
      </c>
      <c r="N61" s="106">
        <v>38.25</v>
      </c>
      <c r="O61" s="106" t="str">
        <f t="shared" si="5"/>
        <v>YIELD HIT</v>
      </c>
    </row>
    <row r="63" spans="5:15" x14ac:dyDescent="0.35">
      <c r="E63" s="175" t="s">
        <v>468</v>
      </c>
      <c r="F63" s="175" t="s">
        <v>464</v>
      </c>
      <c r="G63" s="107" t="s">
        <v>465</v>
      </c>
      <c r="H63" s="107" t="s">
        <v>466</v>
      </c>
    </row>
    <row r="64" spans="5:15" x14ac:dyDescent="0.35">
      <c r="E64" s="176"/>
      <c r="F64" s="176"/>
      <c r="G64" s="106">
        <v>7</v>
      </c>
      <c r="H64" s="108">
        <v>700</v>
      </c>
    </row>
    <row r="66" spans="5:8" x14ac:dyDescent="0.35">
      <c r="E66" s="105" t="s">
        <v>64</v>
      </c>
      <c r="F66" s="105" t="s">
        <v>465</v>
      </c>
      <c r="G66" s="105" t="s">
        <v>467</v>
      </c>
      <c r="H66" s="105" t="s">
        <v>455</v>
      </c>
    </row>
    <row r="67" spans="5:8" x14ac:dyDescent="0.35">
      <c r="E67" s="105" t="s">
        <v>456</v>
      </c>
      <c r="F67" s="106">
        <v>7</v>
      </c>
      <c r="G67" s="108">
        <v>823</v>
      </c>
      <c r="H67" s="106" t="str">
        <f>IF(AND(F67&lt;=$G$64,G67&gt;=$H$64),"target hit","target not hit")</f>
        <v>target hit</v>
      </c>
    </row>
    <row r="68" spans="5:8" x14ac:dyDescent="0.35">
      <c r="E68" s="105" t="s">
        <v>457</v>
      </c>
      <c r="F68" s="106">
        <v>6</v>
      </c>
      <c r="G68" s="108">
        <v>932</v>
      </c>
      <c r="H68" s="106" t="str">
        <f t="shared" ref="H68:H70" si="6">IF(AND(F68&lt;=$G$64,G68&gt;=$H$64),"target hit","target not hit")</f>
        <v>target hit</v>
      </c>
    </row>
    <row r="69" spans="5:8" x14ac:dyDescent="0.35">
      <c r="E69" s="105" t="s">
        <v>458</v>
      </c>
      <c r="F69" s="106">
        <v>4</v>
      </c>
      <c r="G69" s="108">
        <v>433</v>
      </c>
      <c r="H69" s="106" t="str">
        <f t="shared" si="6"/>
        <v>target not hit</v>
      </c>
    </row>
    <row r="70" spans="5:8" x14ac:dyDescent="0.35">
      <c r="E70" s="105" t="s">
        <v>459</v>
      </c>
      <c r="F70" s="106">
        <v>6</v>
      </c>
      <c r="G70" s="108">
        <v>531</v>
      </c>
      <c r="H70" s="106" t="str">
        <f t="shared" si="6"/>
        <v>target not hit</v>
      </c>
    </row>
    <row r="72" spans="5:8" ht="18.5" x14ac:dyDescent="0.45">
      <c r="E72" s="169" t="s">
        <v>470</v>
      </c>
      <c r="F72" s="170"/>
      <c r="G72" s="170"/>
      <c r="H72" s="171"/>
    </row>
    <row r="74" spans="5:8" x14ac:dyDescent="0.35">
      <c r="E74" s="105" t="s">
        <v>469</v>
      </c>
      <c r="F74" s="106">
        <v>45</v>
      </c>
      <c r="G74" s="106">
        <v>73</v>
      </c>
      <c r="H74" s="106" t="str">
        <f>IF(AND(F74&gt;=70,G74&gt;=70),"Pass",IF(OR(F74&gt;=70,G74&gt;=70),"Partial Pass","Fail"))</f>
        <v>Partial Pass</v>
      </c>
    </row>
    <row r="76" spans="5:8" x14ac:dyDescent="0.35">
      <c r="E76" s="105" t="s">
        <v>64</v>
      </c>
      <c r="F76" s="105" t="s">
        <v>453</v>
      </c>
      <c r="G76" s="105" t="s">
        <v>454</v>
      </c>
      <c r="H76" s="105" t="s">
        <v>455</v>
      </c>
    </row>
    <row r="77" spans="5:8" x14ac:dyDescent="0.35">
      <c r="E77" s="105" t="s">
        <v>456</v>
      </c>
      <c r="F77" s="106">
        <v>45</v>
      </c>
      <c r="G77" s="106">
        <v>73</v>
      </c>
      <c r="H77" s="106" t="str">
        <f>IF(AND(F77&gt;=70,G77&gt;=70),"Pass",IF(OR(F77&gt;=70,G77&gt;=70),"partial pass","fail"))</f>
        <v>partial pass</v>
      </c>
    </row>
    <row r="78" spans="5:8" x14ac:dyDescent="0.35">
      <c r="E78" s="105" t="s">
        <v>457</v>
      </c>
      <c r="F78" s="106">
        <v>73</v>
      </c>
      <c r="G78" s="106">
        <v>75</v>
      </c>
      <c r="H78" s="106" t="str">
        <f t="shared" ref="H78:H84" si="7">IF(AND(F78&gt;=70,G78&gt;=70),"Pass",IF(OR(F78&gt;=70,G78&gt;=70),"partial pass","fail"))</f>
        <v>Pass</v>
      </c>
    </row>
    <row r="79" spans="5:8" x14ac:dyDescent="0.35">
      <c r="E79" s="105" t="s">
        <v>458</v>
      </c>
      <c r="F79" s="106">
        <v>76</v>
      </c>
      <c r="G79" s="106">
        <v>50</v>
      </c>
      <c r="H79" s="106" t="str">
        <f t="shared" si="7"/>
        <v>partial pass</v>
      </c>
    </row>
    <row r="80" spans="5:8" x14ac:dyDescent="0.35">
      <c r="E80" s="105" t="s">
        <v>459</v>
      </c>
      <c r="F80" s="106">
        <v>45</v>
      </c>
      <c r="G80" s="106">
        <v>73</v>
      </c>
      <c r="H80" s="106" t="str">
        <f t="shared" si="7"/>
        <v>partial pass</v>
      </c>
    </row>
    <row r="81" spans="5:8" x14ac:dyDescent="0.35">
      <c r="E81" s="105" t="s">
        <v>460</v>
      </c>
      <c r="F81" s="106">
        <v>33</v>
      </c>
      <c r="G81" s="106">
        <v>44</v>
      </c>
      <c r="H81" s="106" t="str">
        <f t="shared" si="7"/>
        <v>fail</v>
      </c>
    </row>
    <row r="82" spans="5:8" x14ac:dyDescent="0.35">
      <c r="E82" s="105" t="s">
        <v>461</v>
      </c>
      <c r="F82" s="106">
        <v>79</v>
      </c>
      <c r="G82" s="106">
        <v>45</v>
      </c>
      <c r="H82" s="106" t="str">
        <f t="shared" si="7"/>
        <v>partial pass</v>
      </c>
    </row>
    <row r="83" spans="5:8" x14ac:dyDescent="0.35">
      <c r="E83" s="105" t="s">
        <v>462</v>
      </c>
      <c r="F83" s="106">
        <v>96</v>
      </c>
      <c r="G83" s="106">
        <v>68</v>
      </c>
      <c r="H83" s="106" t="str">
        <f t="shared" si="7"/>
        <v>partial pass</v>
      </c>
    </row>
    <row r="84" spans="5:8" x14ac:dyDescent="0.35">
      <c r="E84" s="105" t="s">
        <v>463</v>
      </c>
      <c r="F84" s="106">
        <v>73</v>
      </c>
      <c r="G84" s="106">
        <v>71</v>
      </c>
      <c r="H84" s="106" t="str">
        <f t="shared" si="7"/>
        <v>Pass</v>
      </c>
    </row>
  </sheetData>
  <mergeCells count="13">
    <mergeCell ref="C3:K3"/>
    <mergeCell ref="E36:H36"/>
    <mergeCell ref="E49:H49"/>
    <mergeCell ref="E72:H72"/>
    <mergeCell ref="J15:O15"/>
    <mergeCell ref="E51:H51"/>
    <mergeCell ref="J49:O49"/>
    <mergeCell ref="J51:O51"/>
    <mergeCell ref="F27:F28"/>
    <mergeCell ref="F63:F64"/>
    <mergeCell ref="E27:E28"/>
    <mergeCell ref="E63:E64"/>
    <mergeCell ref="E15:H15"/>
  </mergeCells>
  <conditionalFormatting sqref="O54:O61">
    <cfRule type="cellIs" dxfId="55" priority="7" operator="equal">
      <formula>"Low Yield"</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05300-F7CF-427B-8B4F-26436E12FF12}">
  <sheetPr>
    <tabColor rgb="FF003366"/>
  </sheetPr>
  <dimension ref="A1:AI268"/>
  <sheetViews>
    <sheetView topLeftCell="B3" zoomScaleNormal="100" workbookViewId="0">
      <selection activeCell="K16" sqref="K16"/>
    </sheetView>
  </sheetViews>
  <sheetFormatPr defaultColWidth="9.1796875" defaultRowHeight="14.5" x14ac:dyDescent="0.35"/>
  <cols>
    <col min="1" max="1" width="0" style="16" hidden="1" customWidth="1"/>
    <col min="2" max="4" width="9.1796875" style="27"/>
    <col min="5" max="5" width="8" style="27" customWidth="1"/>
    <col min="6" max="6" width="10.81640625" style="27" bestFit="1" customWidth="1"/>
    <col min="7" max="7" width="15.90625" style="27" customWidth="1"/>
    <col min="8" max="16384" width="9.1796875" style="27"/>
  </cols>
  <sheetData>
    <row r="1" spans="2:35" s="16" customFormat="1" x14ac:dyDescent="0.35"/>
    <row r="2" spans="2:35" s="16" customFormat="1" ht="15" thickBot="1" x14ac:dyDescent="0.4">
      <c r="C2" s="20"/>
      <c r="D2" s="20"/>
      <c r="E2" s="20"/>
      <c r="F2" s="20"/>
      <c r="G2" s="20"/>
      <c r="H2" s="20"/>
      <c r="I2" s="20"/>
      <c r="J2" s="20"/>
      <c r="K2" s="20"/>
    </row>
    <row r="3" spans="2:35" s="16" customFormat="1" ht="26" thickBot="1" x14ac:dyDescent="0.6">
      <c r="B3" s="18"/>
      <c r="C3" s="179" t="s">
        <v>45</v>
      </c>
      <c r="D3" s="180"/>
      <c r="E3" s="180"/>
      <c r="F3" s="180"/>
      <c r="G3" s="180"/>
      <c r="H3" s="180"/>
      <c r="I3" s="180"/>
      <c r="J3" s="180"/>
      <c r="K3" s="181"/>
      <c r="L3" s="19"/>
    </row>
    <row r="4" spans="2:35" s="16" customFormat="1" x14ac:dyDescent="0.35">
      <c r="C4" s="21"/>
      <c r="D4" s="21"/>
      <c r="E4" s="21"/>
      <c r="F4" s="21"/>
      <c r="G4" s="21"/>
      <c r="H4" s="21"/>
      <c r="I4" s="21"/>
      <c r="J4" s="21"/>
      <c r="K4" s="21"/>
    </row>
    <row r="5" spans="2:35" s="16" customFormat="1" x14ac:dyDescent="0.35"/>
    <row r="6" spans="2:35" s="16" customFormat="1" x14ac:dyDescent="0.35"/>
    <row r="7" spans="2:35" s="16" customFormat="1" x14ac:dyDescent="0.35">
      <c r="J7" s="17"/>
      <c r="K7" s="17"/>
      <c r="L7" s="17"/>
    </row>
    <row r="8" spans="2:35" s="16" customFormat="1" x14ac:dyDescent="0.35">
      <c r="J8" s="17"/>
      <c r="K8" s="17"/>
      <c r="L8" s="17"/>
    </row>
    <row r="9" spans="2:35" s="16" customFormat="1" x14ac:dyDescent="0.35">
      <c r="B9" s="23"/>
      <c r="C9" s="23"/>
      <c r="D9" s="23"/>
      <c r="E9" s="23"/>
      <c r="F9" s="23"/>
      <c r="G9" s="23"/>
      <c r="H9" s="23"/>
      <c r="I9" s="23"/>
      <c r="J9" s="23"/>
      <c r="K9" s="23"/>
      <c r="L9" s="23"/>
      <c r="M9" s="23"/>
      <c r="N9" s="23"/>
      <c r="O9" s="23"/>
      <c r="P9" s="23"/>
      <c r="Q9" s="23"/>
      <c r="R9" s="23"/>
      <c r="S9" s="23"/>
      <c r="T9" s="23"/>
      <c r="U9" s="23"/>
      <c r="V9" s="23"/>
      <c r="W9" s="23"/>
      <c r="X9" s="22"/>
      <c r="Y9" s="22"/>
      <c r="Z9" s="22"/>
      <c r="AA9" s="22"/>
      <c r="AB9" s="22"/>
      <c r="AC9" s="22"/>
      <c r="AD9" s="22"/>
      <c r="AE9" s="22"/>
      <c r="AF9" s="22"/>
      <c r="AG9" s="22"/>
      <c r="AH9" s="22"/>
      <c r="AI9" s="22"/>
    </row>
    <row r="10" spans="2:35" x14ac:dyDescent="0.35">
      <c r="B10" s="24"/>
      <c r="C10" s="24"/>
      <c r="D10" s="24"/>
      <c r="E10" s="24"/>
      <c r="F10" s="24"/>
      <c r="G10" s="24"/>
      <c r="H10" s="24"/>
      <c r="I10" s="24"/>
      <c r="J10" s="24"/>
      <c r="K10" s="24"/>
      <c r="L10" s="24"/>
      <c r="M10" s="24"/>
      <c r="N10" s="24"/>
      <c r="O10" s="24"/>
      <c r="P10" s="24"/>
      <c r="Q10" s="24"/>
      <c r="R10" s="24"/>
      <c r="S10" s="24"/>
      <c r="T10" s="24"/>
      <c r="U10" s="24"/>
      <c r="V10" s="24"/>
      <c r="W10" s="24"/>
      <c r="X10" s="26"/>
      <c r="Y10" s="26"/>
      <c r="Z10" s="26"/>
      <c r="AA10" s="26"/>
      <c r="AB10" s="26"/>
      <c r="AC10" s="26"/>
      <c r="AD10" s="26"/>
      <c r="AE10" s="26"/>
      <c r="AF10" s="26"/>
      <c r="AG10" s="26"/>
      <c r="AH10" s="26"/>
      <c r="AI10" s="26"/>
    </row>
    <row r="11" spans="2:35" x14ac:dyDescent="0.35">
      <c r="B11" s="24"/>
      <c r="C11" s="24" t="s">
        <v>64</v>
      </c>
      <c r="D11" s="24" t="s">
        <v>65</v>
      </c>
      <c r="E11" s="24" t="s">
        <v>66</v>
      </c>
      <c r="F11" s="182" t="s">
        <v>67</v>
      </c>
      <c r="G11" s="183"/>
      <c r="H11" s="24"/>
      <c r="I11" s="24"/>
      <c r="J11" s="24"/>
      <c r="K11" s="24"/>
      <c r="L11" s="24"/>
      <c r="M11" s="24"/>
      <c r="N11" s="24"/>
      <c r="O11" s="24"/>
      <c r="P11" s="24"/>
      <c r="Q11" s="24"/>
      <c r="R11" s="24"/>
      <c r="S11" s="24"/>
      <c r="T11" s="24"/>
      <c r="U11" s="24"/>
      <c r="V11" s="24"/>
      <c r="W11" s="24"/>
      <c r="X11" s="26"/>
      <c r="Y11" s="26"/>
      <c r="Z11" s="26"/>
      <c r="AA11" s="26"/>
      <c r="AB11" s="26"/>
      <c r="AC11" s="26"/>
      <c r="AD11" s="26"/>
      <c r="AE11" s="26"/>
      <c r="AF11" s="26"/>
      <c r="AG11" s="26"/>
      <c r="AH11" s="26"/>
      <c r="AI11" s="26"/>
    </row>
    <row r="12" spans="2:35" x14ac:dyDescent="0.35">
      <c r="B12" s="24"/>
      <c r="C12" s="24" t="s">
        <v>68</v>
      </c>
      <c r="D12" s="24">
        <v>3461</v>
      </c>
      <c r="E12" s="24" t="s">
        <v>75</v>
      </c>
      <c r="F12" s="182" t="str">
        <f>CONCATENATE(C12,D12,E12)</f>
        <v>SamL3461Paris</v>
      </c>
      <c r="G12" s="183"/>
      <c r="H12" s="24"/>
      <c r="I12" s="24"/>
      <c r="J12" s="24"/>
      <c r="K12" s="24"/>
      <c r="L12" s="24"/>
      <c r="M12" s="24"/>
      <c r="N12" s="24"/>
      <c r="O12" s="24"/>
      <c r="P12" s="24"/>
      <c r="Q12" s="24"/>
      <c r="R12" s="24"/>
      <c r="S12" s="24"/>
      <c r="T12" s="24"/>
      <c r="U12" s="24"/>
      <c r="V12" s="24"/>
      <c r="W12" s="24"/>
      <c r="X12" s="26"/>
      <c r="Y12" s="26"/>
      <c r="Z12" s="26"/>
      <c r="AA12" s="26"/>
      <c r="AB12" s="26"/>
      <c r="AC12" s="26"/>
      <c r="AD12" s="26"/>
      <c r="AE12" s="26"/>
      <c r="AF12" s="26"/>
      <c r="AG12" s="26"/>
      <c r="AH12" s="26"/>
      <c r="AI12" s="26"/>
    </row>
    <row r="13" spans="2:35" x14ac:dyDescent="0.35">
      <c r="B13" s="24"/>
      <c r="C13" s="24" t="s">
        <v>69</v>
      </c>
      <c r="D13" s="24">
        <v>1959</v>
      </c>
      <c r="E13" s="24" t="s">
        <v>76</v>
      </c>
      <c r="F13" s="182" t="str">
        <f t="shared" ref="F13:F18" si="0">CONCATENATE(C13,D13,E13)</f>
        <v>PeterG1959London</v>
      </c>
      <c r="G13" s="183"/>
      <c r="H13" s="24"/>
      <c r="I13" s="24"/>
      <c r="J13" s="24"/>
      <c r="K13" s="24"/>
      <c r="L13" s="24"/>
      <c r="M13" s="24"/>
      <c r="N13" s="24"/>
      <c r="O13" s="24"/>
      <c r="P13" s="24"/>
      <c r="Q13" s="24"/>
      <c r="R13" s="24"/>
      <c r="S13" s="24"/>
      <c r="T13" s="24"/>
      <c r="U13" s="24"/>
      <c r="V13" s="24"/>
      <c r="W13" s="24"/>
      <c r="X13" s="26"/>
      <c r="Y13" s="26"/>
      <c r="Z13" s="26"/>
      <c r="AA13" s="26"/>
      <c r="AB13" s="26"/>
      <c r="AC13" s="26"/>
      <c r="AD13" s="26"/>
      <c r="AE13" s="26"/>
      <c r="AF13" s="26"/>
      <c r="AG13" s="26"/>
      <c r="AH13" s="26"/>
      <c r="AI13" s="26"/>
    </row>
    <row r="14" spans="2:35" x14ac:dyDescent="0.35">
      <c r="B14" s="24"/>
      <c r="C14" s="24" t="s">
        <v>70</v>
      </c>
      <c r="D14" s="24">
        <v>894</v>
      </c>
      <c r="E14" s="24" t="s">
        <v>77</v>
      </c>
      <c r="F14" s="182" t="str">
        <f>CONCATENATE(C14,D14,E14)</f>
        <v>SandraL894Moscow</v>
      </c>
      <c r="G14" s="183"/>
      <c r="H14" s="24"/>
      <c r="I14" s="24"/>
      <c r="J14" s="24"/>
      <c r="K14" s="24"/>
      <c r="L14" s="24"/>
      <c r="M14" s="24"/>
      <c r="N14" s="24"/>
      <c r="O14" s="24"/>
      <c r="P14" s="24"/>
      <c r="Q14" s="24"/>
      <c r="R14" s="24"/>
      <c r="S14" s="24"/>
      <c r="T14" s="24"/>
      <c r="U14" s="24"/>
      <c r="V14" s="24"/>
      <c r="W14" s="24"/>
      <c r="X14" s="26"/>
      <c r="Y14" s="26"/>
      <c r="Z14" s="26"/>
      <c r="AA14" s="26"/>
      <c r="AB14" s="26"/>
      <c r="AC14" s="26"/>
      <c r="AD14" s="26"/>
      <c r="AE14" s="26"/>
      <c r="AF14" s="26"/>
      <c r="AG14" s="26"/>
      <c r="AH14" s="26"/>
      <c r="AI14" s="26"/>
    </row>
    <row r="15" spans="2:35" x14ac:dyDescent="0.35">
      <c r="B15" s="24"/>
      <c r="C15" s="24" t="s">
        <v>71</v>
      </c>
      <c r="D15" s="24">
        <v>5284</v>
      </c>
      <c r="E15" s="24" t="s">
        <v>78</v>
      </c>
      <c r="F15" s="182" t="str">
        <f t="shared" si="0"/>
        <v>EmmaH5284Sofia</v>
      </c>
      <c r="G15" s="183"/>
      <c r="H15" s="24"/>
      <c r="I15" s="24"/>
      <c r="J15" s="24"/>
      <c r="K15" s="24"/>
      <c r="L15" s="24"/>
      <c r="M15" s="24"/>
      <c r="N15" s="24"/>
      <c r="O15" s="24"/>
      <c r="P15" s="24"/>
      <c r="Q15" s="24"/>
      <c r="R15" s="24"/>
      <c r="S15" s="24"/>
      <c r="T15" s="24"/>
      <c r="U15" s="24"/>
      <c r="V15" s="24"/>
      <c r="W15" s="24"/>
      <c r="X15" s="26"/>
      <c r="Y15" s="26"/>
      <c r="Z15" s="26"/>
      <c r="AA15" s="26"/>
      <c r="AB15" s="26"/>
      <c r="AC15" s="26"/>
      <c r="AD15" s="26"/>
      <c r="AE15" s="26"/>
      <c r="AF15" s="26"/>
      <c r="AG15" s="26"/>
      <c r="AH15" s="26"/>
      <c r="AI15" s="26"/>
    </row>
    <row r="16" spans="2:35" x14ac:dyDescent="0.35">
      <c r="B16" s="24"/>
      <c r="C16" s="24" t="s">
        <v>72</v>
      </c>
      <c r="D16" s="24">
        <v>2113</v>
      </c>
      <c r="E16" s="24" t="s">
        <v>79</v>
      </c>
      <c r="F16" s="182" t="str">
        <f t="shared" si="0"/>
        <v>BobP2113Rome</v>
      </c>
      <c r="G16" s="183"/>
      <c r="H16" s="24"/>
      <c r="I16" s="24"/>
      <c r="J16" s="24"/>
      <c r="K16" s="24"/>
      <c r="L16" s="24"/>
      <c r="M16" s="24"/>
      <c r="N16" s="24"/>
      <c r="O16" s="24"/>
      <c r="P16" s="24"/>
      <c r="Q16" s="24"/>
      <c r="R16" s="24"/>
      <c r="S16" s="24"/>
      <c r="T16" s="24"/>
      <c r="U16" s="24"/>
      <c r="V16" s="24"/>
      <c r="W16" s="24"/>
      <c r="X16" s="26"/>
      <c r="Y16" s="26"/>
      <c r="Z16" s="26"/>
      <c r="AA16" s="26"/>
      <c r="AB16" s="26"/>
      <c r="AC16" s="26"/>
      <c r="AD16" s="26"/>
      <c r="AE16" s="26"/>
      <c r="AF16" s="26"/>
      <c r="AG16" s="26"/>
      <c r="AH16" s="26"/>
      <c r="AI16" s="26"/>
    </row>
    <row r="17" spans="2:35" x14ac:dyDescent="0.35">
      <c r="B17" s="24"/>
      <c r="C17" s="24" t="s">
        <v>73</v>
      </c>
      <c r="D17" s="24">
        <v>4651</v>
      </c>
      <c r="E17" s="24" t="s">
        <v>80</v>
      </c>
      <c r="F17" s="182" t="str">
        <f t="shared" si="0"/>
        <v>RichardD4651Berlin</v>
      </c>
      <c r="G17" s="183"/>
      <c r="H17" s="24"/>
      <c r="I17" s="24"/>
      <c r="J17" s="24"/>
      <c r="K17" s="24"/>
      <c r="L17" s="24"/>
      <c r="M17" s="24"/>
      <c r="N17" s="24"/>
      <c r="O17" s="24"/>
      <c r="P17" s="24"/>
      <c r="Q17" s="24"/>
      <c r="R17" s="24"/>
      <c r="S17" s="24"/>
      <c r="T17" s="24"/>
      <c r="U17" s="24"/>
      <c r="V17" s="24"/>
      <c r="W17" s="24"/>
      <c r="X17" s="26"/>
      <c r="Y17" s="26"/>
      <c r="Z17" s="26"/>
      <c r="AA17" s="26"/>
      <c r="AB17" s="26"/>
      <c r="AC17" s="26"/>
      <c r="AD17" s="26"/>
      <c r="AE17" s="26"/>
      <c r="AF17" s="26"/>
      <c r="AG17" s="26"/>
      <c r="AH17" s="26"/>
      <c r="AI17" s="26"/>
    </row>
    <row r="18" spans="2:35" x14ac:dyDescent="0.35">
      <c r="B18" s="24"/>
      <c r="C18" s="24" t="s">
        <v>74</v>
      </c>
      <c r="D18" s="24">
        <v>5451</v>
      </c>
      <c r="E18" s="24" t="s">
        <v>81</v>
      </c>
      <c r="F18" s="182" t="str">
        <f t="shared" si="0"/>
        <v>SammyS5451Dubai</v>
      </c>
      <c r="G18" s="183"/>
      <c r="H18" s="24"/>
      <c r="I18" s="24"/>
      <c r="J18" s="24"/>
      <c r="K18" s="24"/>
      <c r="L18" s="24"/>
      <c r="M18" s="24"/>
      <c r="N18" s="24"/>
      <c r="O18" s="24"/>
      <c r="P18" s="24"/>
      <c r="Q18" s="24"/>
      <c r="R18" s="24"/>
      <c r="S18" s="24"/>
      <c r="T18" s="24"/>
      <c r="U18" s="24"/>
      <c r="V18" s="24"/>
      <c r="W18" s="24"/>
      <c r="X18" s="26"/>
      <c r="Y18" s="26"/>
      <c r="Z18" s="26"/>
      <c r="AA18" s="26"/>
      <c r="AB18" s="26"/>
      <c r="AC18" s="26"/>
      <c r="AD18" s="26"/>
      <c r="AE18" s="26"/>
      <c r="AF18" s="26"/>
      <c r="AG18" s="26"/>
      <c r="AH18" s="26"/>
      <c r="AI18" s="26"/>
    </row>
    <row r="19" spans="2:35" x14ac:dyDescent="0.35">
      <c r="B19" s="24"/>
      <c r="C19" s="24"/>
      <c r="D19" s="24"/>
      <c r="E19" s="24"/>
      <c r="F19" s="24"/>
      <c r="G19" s="24"/>
      <c r="H19" s="24"/>
      <c r="I19" s="24"/>
      <c r="J19" s="24"/>
      <c r="K19" s="24"/>
      <c r="L19" s="24"/>
      <c r="M19" s="24"/>
      <c r="N19" s="24"/>
      <c r="O19" s="24"/>
      <c r="P19" s="24"/>
      <c r="Q19" s="24"/>
      <c r="R19" s="24"/>
      <c r="S19" s="24"/>
      <c r="T19" s="24"/>
      <c r="U19" s="24"/>
      <c r="V19" s="24"/>
      <c r="W19" s="24"/>
      <c r="X19" s="26"/>
      <c r="Y19" s="26"/>
      <c r="Z19" s="26"/>
      <c r="AA19" s="26"/>
      <c r="AB19" s="26"/>
      <c r="AC19" s="26"/>
      <c r="AD19" s="26"/>
      <c r="AE19" s="26"/>
      <c r="AF19" s="26"/>
      <c r="AG19" s="26"/>
      <c r="AH19" s="26"/>
      <c r="AI19" s="26"/>
    </row>
    <row r="20" spans="2:35" x14ac:dyDescent="0.35">
      <c r="B20" s="24"/>
      <c r="C20" s="24"/>
      <c r="D20" s="24"/>
      <c r="E20" s="24"/>
      <c r="F20" s="24"/>
      <c r="G20" s="24"/>
      <c r="H20" s="24"/>
      <c r="I20" s="24"/>
      <c r="J20" s="24"/>
      <c r="K20" s="24"/>
      <c r="L20" s="24"/>
      <c r="M20" s="24"/>
      <c r="N20" s="24"/>
      <c r="O20" s="24"/>
      <c r="P20" s="24"/>
      <c r="Q20" s="24"/>
      <c r="R20" s="24"/>
      <c r="S20" s="24"/>
      <c r="T20" s="24"/>
      <c r="U20" s="24"/>
      <c r="V20" s="24"/>
      <c r="W20" s="24"/>
      <c r="X20" s="26"/>
      <c r="Y20" s="26"/>
      <c r="Z20" s="26"/>
      <c r="AA20" s="26"/>
      <c r="AB20" s="26"/>
      <c r="AC20" s="26"/>
      <c r="AD20" s="26"/>
      <c r="AE20" s="26"/>
      <c r="AF20" s="26"/>
      <c r="AG20" s="26"/>
      <c r="AH20" s="26"/>
      <c r="AI20" s="26"/>
    </row>
    <row r="21" spans="2:35" x14ac:dyDescent="0.35">
      <c r="B21" s="24"/>
      <c r="C21" s="24" t="s">
        <v>64</v>
      </c>
      <c r="D21" s="24" t="s">
        <v>65</v>
      </c>
      <c r="E21" s="24" t="s">
        <v>66</v>
      </c>
      <c r="F21" s="182" t="s">
        <v>67</v>
      </c>
      <c r="G21" s="183"/>
      <c r="H21" s="24"/>
      <c r="I21" s="24"/>
      <c r="J21" s="24"/>
      <c r="K21" s="24"/>
      <c r="L21" s="24"/>
      <c r="M21" s="24"/>
      <c r="N21" s="24"/>
      <c r="O21" s="24"/>
      <c r="P21" s="24"/>
      <c r="Q21" s="24"/>
      <c r="R21" s="24"/>
      <c r="S21" s="24"/>
      <c r="T21" s="24"/>
      <c r="U21" s="24"/>
      <c r="V21" s="24"/>
      <c r="W21" s="24"/>
      <c r="X21" s="26"/>
      <c r="Y21" s="26"/>
      <c r="Z21" s="26"/>
      <c r="AA21" s="26"/>
      <c r="AB21" s="26"/>
      <c r="AC21" s="26"/>
      <c r="AD21" s="26"/>
      <c r="AE21" s="26"/>
      <c r="AF21" s="26"/>
      <c r="AG21" s="26"/>
      <c r="AH21" s="26"/>
      <c r="AI21" s="26"/>
    </row>
    <row r="22" spans="2:35" x14ac:dyDescent="0.35">
      <c r="B22" s="24"/>
      <c r="C22" s="24" t="s">
        <v>68</v>
      </c>
      <c r="D22" s="24">
        <v>3461</v>
      </c>
      <c r="E22" s="24" t="s">
        <v>75</v>
      </c>
      <c r="F22" s="182" t="str">
        <f>CONCATENATE(C22," ",D22,E22,"Member")</f>
        <v>SamL 3461ParisMember</v>
      </c>
      <c r="G22" s="183"/>
      <c r="H22" s="24"/>
      <c r="I22" s="24"/>
      <c r="J22" s="24"/>
      <c r="K22" s="24"/>
      <c r="L22" s="24"/>
      <c r="M22" s="24"/>
      <c r="N22" s="24"/>
      <c r="O22" s="24"/>
      <c r="P22" s="24"/>
      <c r="Q22" s="24"/>
      <c r="R22" s="24"/>
      <c r="S22" s="24"/>
      <c r="T22" s="24"/>
      <c r="U22" s="24"/>
      <c r="V22" s="24"/>
      <c r="W22" s="24"/>
      <c r="X22" s="26"/>
      <c r="Y22" s="26"/>
      <c r="Z22" s="26"/>
      <c r="AA22" s="26"/>
      <c r="AB22" s="26"/>
      <c r="AC22" s="26"/>
      <c r="AD22" s="26"/>
      <c r="AE22" s="26"/>
      <c r="AF22" s="26"/>
      <c r="AG22" s="26"/>
      <c r="AH22" s="26"/>
      <c r="AI22" s="26"/>
    </row>
    <row r="23" spans="2:35" x14ac:dyDescent="0.35">
      <c r="B23" s="24"/>
      <c r="C23" s="24" t="s">
        <v>69</v>
      </c>
      <c r="D23" s="24">
        <v>1959</v>
      </c>
      <c r="E23" s="24" t="s">
        <v>76</v>
      </c>
      <c r="F23" s="182" t="str">
        <f t="shared" ref="F23:F28" si="1">CONCATENATE(C23," ",D23,E23,"Member")</f>
        <v>PeterG 1959LondonMember</v>
      </c>
      <c r="G23" s="183"/>
      <c r="H23" s="24"/>
      <c r="I23" s="24"/>
      <c r="J23" s="24"/>
      <c r="K23" s="24"/>
      <c r="L23" s="24"/>
      <c r="M23" s="24"/>
      <c r="N23" s="24"/>
      <c r="O23" s="24"/>
      <c r="P23" s="24"/>
      <c r="Q23" s="24"/>
      <c r="R23" s="24"/>
      <c r="S23" s="24"/>
      <c r="T23" s="24"/>
      <c r="U23" s="24"/>
      <c r="V23" s="24"/>
      <c r="W23" s="24"/>
      <c r="X23" s="26"/>
      <c r="Y23" s="26"/>
      <c r="Z23" s="26"/>
      <c r="AA23" s="26"/>
      <c r="AB23" s="26"/>
      <c r="AC23" s="26"/>
      <c r="AD23" s="26"/>
      <c r="AE23" s="26"/>
      <c r="AF23" s="26"/>
      <c r="AG23" s="26"/>
      <c r="AH23" s="26"/>
      <c r="AI23" s="26"/>
    </row>
    <row r="24" spans="2:35" x14ac:dyDescent="0.35">
      <c r="B24" s="24"/>
      <c r="C24" s="24" t="s">
        <v>70</v>
      </c>
      <c r="D24" s="24">
        <v>894</v>
      </c>
      <c r="E24" s="24" t="s">
        <v>77</v>
      </c>
      <c r="F24" s="182" t="str">
        <f t="shared" si="1"/>
        <v>SandraL 894MoscowMember</v>
      </c>
      <c r="G24" s="183"/>
      <c r="H24" s="24"/>
      <c r="I24" s="24"/>
      <c r="J24" s="24"/>
      <c r="K24" s="24"/>
      <c r="L24" s="24"/>
      <c r="M24" s="24"/>
      <c r="N24" s="24"/>
      <c r="O24" s="24"/>
      <c r="P24" s="24"/>
      <c r="Q24" s="24"/>
      <c r="R24" s="24"/>
      <c r="S24" s="24"/>
      <c r="T24" s="24"/>
      <c r="U24" s="24"/>
      <c r="V24" s="24"/>
      <c r="W24" s="24"/>
      <c r="X24" s="26"/>
      <c r="Y24" s="26"/>
      <c r="Z24" s="26"/>
      <c r="AA24" s="26"/>
      <c r="AB24" s="26"/>
      <c r="AC24" s="26"/>
      <c r="AD24" s="26"/>
      <c r="AE24" s="26"/>
      <c r="AF24" s="26"/>
      <c r="AG24" s="26"/>
      <c r="AH24" s="26"/>
      <c r="AI24" s="26"/>
    </row>
    <row r="25" spans="2:35" x14ac:dyDescent="0.35">
      <c r="B25" s="24"/>
      <c r="C25" s="24" t="s">
        <v>71</v>
      </c>
      <c r="D25" s="24">
        <v>5284</v>
      </c>
      <c r="E25" s="24" t="s">
        <v>78</v>
      </c>
      <c r="F25" s="182" t="str">
        <f t="shared" si="1"/>
        <v>EmmaH 5284SofiaMember</v>
      </c>
      <c r="G25" s="183"/>
      <c r="H25" s="24"/>
      <c r="I25" s="24"/>
      <c r="J25" s="24"/>
      <c r="K25" s="24"/>
      <c r="L25" s="24"/>
      <c r="M25" s="24"/>
      <c r="N25" s="24"/>
      <c r="O25" s="24"/>
      <c r="P25" s="24"/>
      <c r="Q25" s="24"/>
      <c r="R25" s="24"/>
      <c r="S25" s="24"/>
      <c r="T25" s="24"/>
      <c r="U25" s="24"/>
      <c r="V25" s="24"/>
      <c r="W25" s="24"/>
      <c r="X25" s="26"/>
      <c r="Y25" s="26"/>
      <c r="Z25" s="26"/>
      <c r="AA25" s="26"/>
      <c r="AB25" s="26"/>
      <c r="AC25" s="26"/>
      <c r="AD25" s="26"/>
      <c r="AE25" s="26"/>
      <c r="AF25" s="26"/>
      <c r="AG25" s="26"/>
      <c r="AH25" s="26"/>
      <c r="AI25" s="26"/>
    </row>
    <row r="26" spans="2:35" x14ac:dyDescent="0.35">
      <c r="B26" s="24"/>
      <c r="C26" s="24" t="s">
        <v>72</v>
      </c>
      <c r="D26" s="24">
        <v>2113</v>
      </c>
      <c r="E26" s="24" t="s">
        <v>79</v>
      </c>
      <c r="F26" s="182" t="str">
        <f t="shared" si="1"/>
        <v>BobP 2113RomeMember</v>
      </c>
      <c r="G26" s="183"/>
      <c r="H26" s="24"/>
      <c r="I26" s="24"/>
      <c r="J26" s="24"/>
      <c r="K26" s="24"/>
      <c r="L26" s="24"/>
      <c r="M26" s="24"/>
      <c r="N26" s="24"/>
      <c r="O26" s="24"/>
      <c r="P26" s="24"/>
      <c r="Q26" s="24"/>
      <c r="R26" s="24"/>
      <c r="S26" s="24"/>
      <c r="T26" s="24"/>
      <c r="U26" s="24"/>
      <c r="V26" s="24"/>
      <c r="W26" s="24"/>
      <c r="X26" s="26"/>
      <c r="Y26" s="26"/>
      <c r="Z26" s="26"/>
      <c r="AA26" s="26"/>
      <c r="AB26" s="26"/>
      <c r="AC26" s="26"/>
      <c r="AD26" s="26"/>
      <c r="AE26" s="26"/>
      <c r="AF26" s="26"/>
      <c r="AG26" s="26"/>
      <c r="AH26" s="26"/>
      <c r="AI26" s="26"/>
    </row>
    <row r="27" spans="2:35" x14ac:dyDescent="0.35">
      <c r="B27" s="24"/>
      <c r="C27" s="24" t="s">
        <v>73</v>
      </c>
      <c r="D27" s="24">
        <v>4651</v>
      </c>
      <c r="E27" s="24" t="s">
        <v>80</v>
      </c>
      <c r="F27" s="182" t="str">
        <f t="shared" si="1"/>
        <v>RichardD 4651BerlinMember</v>
      </c>
      <c r="G27" s="183"/>
      <c r="H27" s="24"/>
      <c r="I27" s="24"/>
      <c r="J27" s="24"/>
      <c r="K27" s="24"/>
      <c r="L27" s="24"/>
      <c r="M27" s="24"/>
      <c r="N27" s="24"/>
      <c r="O27" s="24"/>
      <c r="P27" s="24"/>
      <c r="Q27" s="24"/>
      <c r="R27" s="24"/>
      <c r="S27" s="24"/>
      <c r="T27" s="24"/>
      <c r="U27" s="24"/>
      <c r="V27" s="24"/>
      <c r="W27" s="24"/>
      <c r="X27" s="26"/>
      <c r="Y27" s="26"/>
      <c r="Z27" s="26"/>
      <c r="AA27" s="26"/>
      <c r="AB27" s="26"/>
      <c r="AC27" s="26"/>
      <c r="AD27" s="26"/>
      <c r="AE27" s="26"/>
      <c r="AF27" s="26"/>
      <c r="AG27" s="26"/>
      <c r="AH27" s="26"/>
      <c r="AI27" s="26"/>
    </row>
    <row r="28" spans="2:35" x14ac:dyDescent="0.35">
      <c r="B28" s="24"/>
      <c r="C28" s="24" t="s">
        <v>74</v>
      </c>
      <c r="D28" s="24">
        <v>5451</v>
      </c>
      <c r="E28" s="24" t="s">
        <v>81</v>
      </c>
      <c r="F28" s="182" t="str">
        <f t="shared" si="1"/>
        <v>SammyS 5451DubaiMember</v>
      </c>
      <c r="G28" s="183"/>
      <c r="H28" s="24"/>
      <c r="I28" s="24"/>
      <c r="J28" s="24"/>
      <c r="K28" s="24"/>
      <c r="L28" s="24"/>
      <c r="M28" s="24"/>
      <c r="N28" s="24"/>
      <c r="O28" s="24"/>
      <c r="P28" s="24"/>
      <c r="Q28" s="24"/>
      <c r="R28" s="24"/>
      <c r="S28" s="24"/>
      <c r="T28" s="24"/>
      <c r="U28" s="24"/>
      <c r="V28" s="24"/>
      <c r="W28" s="24"/>
      <c r="X28" s="26"/>
      <c r="Y28" s="26"/>
      <c r="Z28" s="26"/>
      <c r="AA28" s="26"/>
      <c r="AB28" s="26"/>
      <c r="AC28" s="26"/>
      <c r="AD28" s="26"/>
      <c r="AE28" s="26"/>
      <c r="AF28" s="26"/>
      <c r="AG28" s="26"/>
      <c r="AH28" s="26"/>
      <c r="AI28" s="26"/>
    </row>
    <row r="29" spans="2:35" x14ac:dyDescent="0.35">
      <c r="B29" s="24"/>
      <c r="C29" s="24"/>
      <c r="D29" s="24"/>
      <c r="E29" s="24"/>
      <c r="F29" s="24"/>
      <c r="G29" s="24"/>
      <c r="H29" s="24"/>
      <c r="I29" s="24"/>
      <c r="J29" s="24"/>
      <c r="K29" s="24"/>
      <c r="L29" s="24"/>
      <c r="M29" s="24"/>
      <c r="N29" s="24"/>
      <c r="O29" s="24"/>
      <c r="P29" s="24"/>
      <c r="Q29" s="24"/>
      <c r="R29" s="24"/>
      <c r="S29" s="24"/>
      <c r="T29" s="24"/>
      <c r="U29" s="24"/>
      <c r="V29" s="24"/>
      <c r="W29" s="24"/>
      <c r="X29" s="26"/>
      <c r="Y29" s="26"/>
      <c r="Z29" s="26"/>
      <c r="AA29" s="26"/>
      <c r="AB29" s="26"/>
      <c r="AC29" s="26"/>
      <c r="AD29" s="26"/>
      <c r="AE29" s="26"/>
      <c r="AF29" s="26"/>
      <c r="AG29" s="26"/>
      <c r="AH29" s="26"/>
      <c r="AI29" s="26"/>
    </row>
    <row r="30" spans="2:35" ht="21" x14ac:dyDescent="0.5">
      <c r="B30" s="24"/>
      <c r="C30" s="184" t="s">
        <v>279</v>
      </c>
      <c r="D30" s="185"/>
      <c r="E30" s="185"/>
      <c r="F30" s="185"/>
      <c r="G30" s="186"/>
      <c r="H30" s="24"/>
      <c r="I30" s="24"/>
      <c r="J30" s="24"/>
      <c r="K30" s="24"/>
      <c r="L30" s="24"/>
      <c r="M30" s="24"/>
      <c r="N30" s="24"/>
      <c r="O30" s="24"/>
      <c r="P30" s="24"/>
      <c r="Q30" s="24"/>
      <c r="R30" s="24"/>
      <c r="S30" s="24"/>
      <c r="T30" s="24"/>
      <c r="U30" s="24"/>
      <c r="V30" s="24"/>
      <c r="W30" s="24"/>
      <c r="X30" s="26"/>
      <c r="Y30" s="26"/>
      <c r="Z30" s="26"/>
      <c r="AA30" s="26"/>
      <c r="AB30" s="26"/>
      <c r="AC30" s="26"/>
      <c r="AD30" s="26"/>
      <c r="AE30" s="26"/>
      <c r="AF30" s="26"/>
      <c r="AG30" s="26"/>
      <c r="AH30" s="26"/>
      <c r="AI30" s="26"/>
    </row>
    <row r="31" spans="2:35" x14ac:dyDescent="0.35">
      <c r="B31" s="24"/>
      <c r="H31" s="24"/>
      <c r="I31" s="24"/>
      <c r="J31" s="24"/>
      <c r="K31" s="24"/>
      <c r="L31" s="24"/>
      <c r="M31" s="24"/>
      <c r="N31" s="24"/>
      <c r="O31" s="24"/>
      <c r="P31" s="24"/>
      <c r="Q31" s="24"/>
      <c r="R31" s="24"/>
      <c r="S31" s="24"/>
      <c r="T31" s="24"/>
      <c r="U31" s="24"/>
      <c r="V31" s="24"/>
      <c r="W31" s="24"/>
      <c r="X31" s="26"/>
      <c r="Y31" s="26"/>
      <c r="Z31" s="26"/>
      <c r="AA31" s="26"/>
      <c r="AB31" s="26"/>
      <c r="AC31" s="26"/>
      <c r="AD31" s="26"/>
      <c r="AE31" s="26"/>
      <c r="AF31" s="26"/>
      <c r="AG31" s="26"/>
      <c r="AH31" s="26"/>
      <c r="AI31" s="26"/>
    </row>
    <row r="32" spans="2:35" x14ac:dyDescent="0.35">
      <c r="B32" s="24"/>
      <c r="C32" s="38" t="s">
        <v>64</v>
      </c>
      <c r="D32" s="38" t="s">
        <v>65</v>
      </c>
      <c r="E32" s="38" t="s">
        <v>66</v>
      </c>
      <c r="F32" s="177" t="s">
        <v>278</v>
      </c>
      <c r="G32" s="178"/>
      <c r="H32" s="24"/>
      <c r="I32" s="24"/>
      <c r="J32" s="24"/>
      <c r="K32" s="24"/>
      <c r="L32" s="24"/>
      <c r="M32" s="24"/>
      <c r="N32" s="24"/>
      <c r="O32" s="24"/>
      <c r="P32" s="24"/>
      <c r="Q32" s="24"/>
      <c r="R32" s="24"/>
      <c r="S32" s="24"/>
      <c r="T32" s="24"/>
      <c r="U32" s="24"/>
      <c r="V32" s="24"/>
      <c r="W32" s="24"/>
      <c r="X32" s="26"/>
      <c r="Y32" s="26"/>
      <c r="Z32" s="26"/>
      <c r="AA32" s="26"/>
      <c r="AB32" s="26"/>
      <c r="AC32" s="26"/>
      <c r="AD32" s="26"/>
      <c r="AE32" s="26"/>
      <c r="AF32" s="26"/>
      <c r="AG32" s="26"/>
      <c r="AH32" s="26"/>
      <c r="AI32" s="26"/>
    </row>
    <row r="33" spans="2:35" x14ac:dyDescent="0.35">
      <c r="B33" s="24"/>
      <c r="C33" s="38" t="s">
        <v>68</v>
      </c>
      <c r="D33" s="38">
        <v>3461</v>
      </c>
      <c r="E33" s="38" t="s">
        <v>75</v>
      </c>
      <c r="F33" s="177" t="str">
        <f>C33&amp;" "&amp;D33&amp;E33&amp;"Member"</f>
        <v>SamL 3461ParisMember</v>
      </c>
      <c r="G33" s="178"/>
      <c r="H33" s="24"/>
      <c r="I33" s="24"/>
      <c r="J33" s="24"/>
      <c r="K33" s="24"/>
      <c r="L33" s="24"/>
      <c r="M33" s="24"/>
      <c r="N33" s="24"/>
      <c r="O33" s="24"/>
      <c r="P33" s="24"/>
      <c r="Q33" s="24"/>
      <c r="R33" s="24"/>
      <c r="S33" s="24"/>
      <c r="T33" s="24"/>
      <c r="U33" s="24"/>
      <c r="V33" s="24"/>
      <c r="W33" s="24"/>
      <c r="X33" s="26"/>
      <c r="Y33" s="26"/>
      <c r="Z33" s="26"/>
      <c r="AA33" s="26"/>
      <c r="AB33" s="26"/>
      <c r="AC33" s="26"/>
      <c r="AD33" s="26"/>
      <c r="AE33" s="26"/>
      <c r="AF33" s="26"/>
      <c r="AG33" s="26"/>
      <c r="AH33" s="26"/>
      <c r="AI33" s="26"/>
    </row>
    <row r="34" spans="2:35" x14ac:dyDescent="0.35">
      <c r="B34" s="24"/>
      <c r="C34" s="38" t="s">
        <v>69</v>
      </c>
      <c r="D34" s="38">
        <v>1959</v>
      </c>
      <c r="E34" s="38" t="s">
        <v>76</v>
      </c>
      <c r="F34" s="177" t="str">
        <f t="shared" ref="F34:F39" si="2">C34&amp;" "&amp;D34&amp;E34&amp;"Member"</f>
        <v>PeterG 1959LondonMember</v>
      </c>
      <c r="G34" s="178"/>
      <c r="H34" s="24"/>
      <c r="I34" s="24"/>
      <c r="J34" s="24"/>
      <c r="K34" s="24"/>
      <c r="L34" s="24"/>
      <c r="M34" s="24"/>
      <c r="N34" s="24"/>
      <c r="O34" s="24"/>
      <c r="P34" s="24"/>
      <c r="Q34" s="24"/>
      <c r="R34" s="24"/>
      <c r="S34" s="24"/>
      <c r="T34" s="24"/>
      <c r="U34" s="24"/>
      <c r="V34" s="24"/>
      <c r="W34" s="24"/>
      <c r="X34" s="26"/>
      <c r="Y34" s="26"/>
      <c r="Z34" s="26"/>
      <c r="AA34" s="26"/>
      <c r="AB34" s="26"/>
      <c r="AC34" s="26"/>
      <c r="AD34" s="26"/>
      <c r="AE34" s="26"/>
      <c r="AF34" s="26"/>
      <c r="AG34" s="26"/>
      <c r="AH34" s="26"/>
      <c r="AI34" s="26"/>
    </row>
    <row r="35" spans="2:35" x14ac:dyDescent="0.35">
      <c r="B35" s="24"/>
      <c r="C35" s="38" t="s">
        <v>70</v>
      </c>
      <c r="D35" s="38">
        <v>894</v>
      </c>
      <c r="E35" s="38" t="s">
        <v>77</v>
      </c>
      <c r="F35" s="177" t="str">
        <f t="shared" si="2"/>
        <v>SandraL 894MoscowMember</v>
      </c>
      <c r="G35" s="178"/>
      <c r="H35" s="24"/>
      <c r="I35" s="24"/>
      <c r="J35" s="24"/>
      <c r="K35" s="24"/>
      <c r="L35" s="24"/>
      <c r="M35" s="24"/>
      <c r="N35" s="24"/>
      <c r="O35" s="24"/>
      <c r="P35" s="24"/>
      <c r="Q35" s="24"/>
      <c r="R35" s="24"/>
      <c r="S35" s="24"/>
      <c r="T35" s="24"/>
      <c r="U35" s="24"/>
      <c r="V35" s="24"/>
      <c r="W35" s="24"/>
      <c r="X35" s="26"/>
      <c r="Y35" s="26"/>
      <c r="Z35" s="26"/>
      <c r="AA35" s="26"/>
      <c r="AB35" s="26"/>
      <c r="AC35" s="26"/>
      <c r="AD35" s="26"/>
      <c r="AE35" s="26"/>
      <c r="AF35" s="26"/>
      <c r="AG35" s="26"/>
      <c r="AH35" s="26"/>
      <c r="AI35" s="26"/>
    </row>
    <row r="36" spans="2:35" x14ac:dyDescent="0.35">
      <c r="B36" s="24"/>
      <c r="C36" s="38" t="s">
        <v>71</v>
      </c>
      <c r="D36" s="38">
        <v>5284</v>
      </c>
      <c r="E36" s="38" t="s">
        <v>78</v>
      </c>
      <c r="F36" s="177" t="str">
        <f t="shared" si="2"/>
        <v>EmmaH 5284SofiaMember</v>
      </c>
      <c r="G36" s="178"/>
      <c r="H36" s="24"/>
      <c r="I36" s="24"/>
      <c r="J36" s="24"/>
      <c r="K36" s="24"/>
      <c r="L36" s="24"/>
      <c r="M36" s="24"/>
      <c r="N36" s="24"/>
      <c r="O36" s="24"/>
      <c r="P36" s="24"/>
      <c r="Q36" s="24"/>
      <c r="R36" s="24"/>
      <c r="S36" s="24"/>
      <c r="T36" s="24"/>
      <c r="U36" s="24"/>
      <c r="V36" s="24"/>
      <c r="W36" s="24"/>
      <c r="X36" s="26"/>
      <c r="Y36" s="26"/>
      <c r="Z36" s="26"/>
      <c r="AA36" s="26"/>
      <c r="AB36" s="26"/>
      <c r="AC36" s="26"/>
      <c r="AD36" s="26"/>
      <c r="AE36" s="26"/>
      <c r="AF36" s="26"/>
      <c r="AG36" s="26"/>
      <c r="AH36" s="26"/>
      <c r="AI36" s="26"/>
    </row>
    <row r="37" spans="2:35" x14ac:dyDescent="0.35">
      <c r="B37" s="24"/>
      <c r="C37" s="38" t="s">
        <v>72</v>
      </c>
      <c r="D37" s="38">
        <v>2113</v>
      </c>
      <c r="E37" s="38" t="s">
        <v>79</v>
      </c>
      <c r="F37" s="177" t="str">
        <f t="shared" si="2"/>
        <v>BobP 2113RomeMember</v>
      </c>
      <c r="G37" s="178"/>
      <c r="H37" s="24"/>
      <c r="I37" s="24"/>
      <c r="J37" s="24"/>
      <c r="K37" s="24"/>
      <c r="L37" s="24"/>
      <c r="M37" s="24"/>
      <c r="N37" s="24"/>
      <c r="O37" s="24"/>
      <c r="P37" s="24"/>
      <c r="Q37" s="24"/>
      <c r="R37" s="24"/>
      <c r="S37" s="24"/>
      <c r="T37" s="24"/>
      <c r="U37" s="24"/>
      <c r="V37" s="24"/>
      <c r="W37" s="24"/>
      <c r="X37" s="26"/>
      <c r="Y37" s="26"/>
      <c r="Z37" s="26"/>
      <c r="AA37" s="26"/>
      <c r="AB37" s="26"/>
      <c r="AC37" s="26"/>
      <c r="AD37" s="26"/>
      <c r="AE37" s="26"/>
      <c r="AF37" s="26"/>
      <c r="AG37" s="26"/>
      <c r="AH37" s="26"/>
      <c r="AI37" s="26"/>
    </row>
    <row r="38" spans="2:35" x14ac:dyDescent="0.35">
      <c r="B38" s="24"/>
      <c r="C38" s="38" t="s">
        <v>73</v>
      </c>
      <c r="D38" s="38">
        <v>4651</v>
      </c>
      <c r="E38" s="38" t="s">
        <v>80</v>
      </c>
      <c r="F38" s="177" t="str">
        <f t="shared" si="2"/>
        <v>RichardD 4651BerlinMember</v>
      </c>
      <c r="G38" s="178"/>
      <c r="H38" s="24"/>
      <c r="I38" s="24"/>
      <c r="J38" s="24"/>
      <c r="K38" s="24"/>
      <c r="L38" s="24"/>
      <c r="M38" s="24"/>
      <c r="N38" s="24"/>
      <c r="O38" s="24"/>
      <c r="P38" s="24"/>
      <c r="Q38" s="24"/>
      <c r="R38" s="24"/>
      <c r="S38" s="24"/>
      <c r="T38" s="24"/>
      <c r="U38" s="24"/>
      <c r="V38" s="24"/>
      <c r="W38" s="24"/>
      <c r="X38" s="26"/>
      <c r="Y38" s="26"/>
      <c r="Z38" s="26"/>
      <c r="AA38" s="26"/>
      <c r="AB38" s="26"/>
      <c r="AC38" s="26"/>
      <c r="AD38" s="26"/>
      <c r="AE38" s="26"/>
      <c r="AF38" s="26"/>
      <c r="AG38" s="26"/>
      <c r="AH38" s="26"/>
      <c r="AI38" s="26"/>
    </row>
    <row r="39" spans="2:35" x14ac:dyDescent="0.35">
      <c r="B39" s="24"/>
      <c r="C39" s="38" t="s">
        <v>74</v>
      </c>
      <c r="D39" s="38">
        <v>5451</v>
      </c>
      <c r="E39" s="38" t="s">
        <v>81</v>
      </c>
      <c r="F39" s="177" t="str">
        <f t="shared" si="2"/>
        <v>SammyS 5451DubaiMember</v>
      </c>
      <c r="G39" s="178"/>
      <c r="H39" s="24"/>
      <c r="I39" s="24"/>
      <c r="J39" s="24"/>
      <c r="K39" s="24"/>
      <c r="L39" s="24"/>
      <c r="M39" s="24"/>
      <c r="N39" s="24"/>
      <c r="O39" s="24"/>
      <c r="P39" s="24"/>
      <c r="Q39" s="24"/>
      <c r="R39" s="24"/>
      <c r="S39" s="24"/>
      <c r="T39" s="24"/>
      <c r="U39" s="24"/>
      <c r="V39" s="24"/>
      <c r="W39" s="24"/>
      <c r="X39" s="26"/>
      <c r="Y39" s="26"/>
      <c r="Z39" s="26"/>
      <c r="AA39" s="26"/>
      <c r="AB39" s="26"/>
      <c r="AC39" s="26"/>
      <c r="AD39" s="26"/>
      <c r="AE39" s="26"/>
      <c r="AF39" s="26"/>
      <c r="AG39" s="26"/>
      <c r="AH39" s="26"/>
      <c r="AI39" s="26"/>
    </row>
    <row r="40" spans="2:35" x14ac:dyDescent="0.35">
      <c r="B40" s="24"/>
      <c r="H40" s="24"/>
      <c r="I40" s="24"/>
      <c r="J40" s="24"/>
      <c r="K40" s="24"/>
      <c r="L40" s="24"/>
      <c r="M40" s="24"/>
      <c r="N40" s="24"/>
      <c r="O40" s="24"/>
      <c r="P40" s="24"/>
      <c r="Q40" s="24"/>
      <c r="R40" s="24"/>
      <c r="S40" s="24"/>
      <c r="T40" s="24"/>
      <c r="U40" s="24"/>
      <c r="V40" s="24"/>
      <c r="W40" s="24"/>
      <c r="X40" s="26"/>
      <c r="Y40" s="26"/>
      <c r="Z40" s="26"/>
      <c r="AA40" s="26"/>
      <c r="AB40" s="26"/>
      <c r="AC40" s="26"/>
      <c r="AD40" s="26"/>
      <c r="AE40" s="26"/>
      <c r="AF40" s="26"/>
      <c r="AG40" s="26"/>
      <c r="AH40" s="26"/>
      <c r="AI40" s="26"/>
    </row>
    <row r="41" spans="2:35" x14ac:dyDescent="0.35">
      <c r="B41" s="24"/>
      <c r="H41" s="24"/>
      <c r="I41" s="24"/>
      <c r="J41" s="24"/>
      <c r="K41" s="24"/>
      <c r="L41" s="24"/>
      <c r="M41" s="24"/>
      <c r="N41" s="24"/>
      <c r="O41" s="24"/>
      <c r="P41" s="24"/>
      <c r="Q41" s="24"/>
      <c r="R41" s="24"/>
      <c r="S41" s="24"/>
      <c r="T41" s="24"/>
      <c r="U41" s="24"/>
      <c r="V41" s="24"/>
      <c r="W41" s="24"/>
      <c r="X41" s="26"/>
      <c r="Y41" s="26"/>
      <c r="Z41" s="26"/>
      <c r="AA41" s="26"/>
      <c r="AB41" s="26"/>
      <c r="AC41" s="26"/>
      <c r="AD41" s="26"/>
      <c r="AE41" s="26"/>
      <c r="AF41" s="26"/>
      <c r="AG41" s="26"/>
      <c r="AH41" s="26"/>
      <c r="AI41" s="26"/>
    </row>
    <row r="42" spans="2:35" x14ac:dyDescent="0.35">
      <c r="B42" s="24"/>
      <c r="H42" s="24"/>
      <c r="I42" s="24"/>
      <c r="J42" s="24"/>
      <c r="K42" s="24"/>
      <c r="L42" s="24"/>
      <c r="M42" s="24"/>
      <c r="N42" s="24"/>
      <c r="O42" s="24"/>
      <c r="P42" s="24"/>
      <c r="Q42" s="24"/>
      <c r="R42" s="24"/>
      <c r="S42" s="24"/>
      <c r="T42" s="24"/>
      <c r="U42" s="24"/>
      <c r="V42" s="24"/>
      <c r="W42" s="24"/>
      <c r="X42" s="26"/>
      <c r="Y42" s="26"/>
      <c r="Z42" s="26"/>
      <c r="AA42" s="26"/>
      <c r="AB42" s="26"/>
      <c r="AC42" s="26"/>
      <c r="AD42" s="26"/>
      <c r="AE42" s="26"/>
      <c r="AF42" s="26"/>
      <c r="AG42" s="26"/>
      <c r="AH42" s="26"/>
      <c r="AI42" s="26"/>
    </row>
    <row r="43" spans="2:35" x14ac:dyDescent="0.35">
      <c r="B43" s="24"/>
      <c r="H43" s="24"/>
      <c r="I43" s="24"/>
      <c r="J43" s="24"/>
      <c r="K43" s="24"/>
      <c r="L43" s="24"/>
      <c r="M43" s="24"/>
      <c r="N43" s="24"/>
      <c r="O43" s="24"/>
      <c r="P43" s="24"/>
      <c r="Q43" s="24"/>
      <c r="R43" s="24"/>
      <c r="S43" s="24"/>
      <c r="T43" s="24"/>
      <c r="U43" s="24"/>
      <c r="V43" s="24"/>
      <c r="W43" s="24"/>
      <c r="X43" s="26"/>
      <c r="Y43" s="26"/>
      <c r="Z43" s="26"/>
      <c r="AA43" s="26"/>
      <c r="AB43" s="26"/>
      <c r="AC43" s="26"/>
      <c r="AD43" s="26"/>
      <c r="AE43" s="26"/>
      <c r="AF43" s="26"/>
      <c r="AG43" s="26"/>
      <c r="AH43" s="26"/>
      <c r="AI43" s="26"/>
    </row>
    <row r="44" spans="2:35" x14ac:dyDescent="0.35">
      <c r="B44" s="24"/>
      <c r="C44" s="24"/>
      <c r="D44" s="24"/>
      <c r="E44" s="24"/>
      <c r="F44" s="24"/>
      <c r="G44" s="24"/>
      <c r="H44" s="24"/>
      <c r="I44" s="24"/>
      <c r="J44" s="24"/>
      <c r="K44" s="24"/>
      <c r="L44" s="24"/>
      <c r="M44" s="24"/>
      <c r="N44" s="24"/>
      <c r="O44" s="24"/>
      <c r="P44" s="24"/>
      <c r="Q44" s="24"/>
      <c r="R44" s="24"/>
      <c r="S44" s="24"/>
      <c r="T44" s="24"/>
      <c r="U44" s="24"/>
      <c r="V44" s="24"/>
      <c r="W44" s="24"/>
      <c r="X44" s="26"/>
      <c r="Y44" s="26"/>
      <c r="Z44" s="26"/>
      <c r="AA44" s="26"/>
      <c r="AB44" s="26"/>
      <c r="AC44" s="26"/>
      <c r="AD44" s="26"/>
      <c r="AE44" s="26"/>
      <c r="AF44" s="26"/>
      <c r="AG44" s="26"/>
      <c r="AH44" s="26"/>
      <c r="AI44" s="26"/>
    </row>
    <row r="45" spans="2:35" x14ac:dyDescent="0.35">
      <c r="B45" s="24"/>
      <c r="C45" s="24"/>
      <c r="D45" s="24"/>
      <c r="E45" s="24"/>
      <c r="F45" s="24"/>
      <c r="G45" s="24"/>
      <c r="H45" s="24"/>
      <c r="I45" s="24"/>
      <c r="J45" s="24"/>
      <c r="K45" s="24"/>
      <c r="L45" s="24"/>
      <c r="M45" s="24"/>
      <c r="N45" s="24"/>
      <c r="O45" s="24"/>
      <c r="P45" s="24"/>
      <c r="Q45" s="24"/>
      <c r="R45" s="24"/>
      <c r="S45" s="24"/>
      <c r="T45" s="24"/>
      <c r="U45" s="24"/>
      <c r="V45" s="24"/>
      <c r="W45" s="24"/>
      <c r="X45" s="26"/>
      <c r="Y45" s="26"/>
      <c r="Z45" s="26"/>
      <c r="AA45" s="26"/>
      <c r="AB45" s="26"/>
      <c r="AC45" s="26"/>
      <c r="AD45" s="26"/>
      <c r="AE45" s="26"/>
      <c r="AF45" s="26"/>
      <c r="AG45" s="26"/>
      <c r="AH45" s="26"/>
      <c r="AI45" s="26"/>
    </row>
    <row r="46" spans="2:35" x14ac:dyDescent="0.35">
      <c r="B46" s="24"/>
      <c r="C46" s="24"/>
      <c r="D46" s="24"/>
      <c r="E46" s="24"/>
      <c r="F46" s="24"/>
      <c r="G46" s="24"/>
      <c r="H46" s="24"/>
      <c r="I46" s="24"/>
      <c r="J46" s="24"/>
      <c r="K46" s="24"/>
      <c r="L46" s="24"/>
      <c r="M46" s="24"/>
      <c r="N46" s="24"/>
      <c r="O46" s="24"/>
      <c r="P46" s="24"/>
      <c r="Q46" s="24"/>
      <c r="R46" s="24"/>
      <c r="S46" s="24"/>
      <c r="T46" s="24"/>
      <c r="U46" s="24"/>
      <c r="V46" s="24"/>
      <c r="W46" s="24"/>
      <c r="X46" s="26"/>
      <c r="Y46" s="26"/>
      <c r="Z46" s="26"/>
      <c r="AA46" s="26"/>
      <c r="AB46" s="26"/>
      <c r="AC46" s="26"/>
      <c r="AD46" s="26"/>
      <c r="AE46" s="26"/>
      <c r="AF46" s="26"/>
      <c r="AG46" s="26"/>
      <c r="AH46" s="26"/>
      <c r="AI46" s="26"/>
    </row>
    <row r="47" spans="2:35" x14ac:dyDescent="0.35">
      <c r="B47" s="24"/>
      <c r="C47" s="24"/>
      <c r="D47" s="24"/>
      <c r="E47" s="24"/>
      <c r="F47" s="24"/>
      <c r="G47" s="24"/>
      <c r="H47" s="24"/>
      <c r="I47" s="24"/>
      <c r="J47" s="24"/>
      <c r="K47" s="24"/>
      <c r="L47" s="24"/>
      <c r="M47" s="24"/>
      <c r="N47" s="24"/>
      <c r="O47" s="24"/>
      <c r="P47" s="24"/>
      <c r="Q47" s="24"/>
      <c r="R47" s="24"/>
      <c r="S47" s="24"/>
      <c r="T47" s="24"/>
      <c r="U47" s="24"/>
      <c r="V47" s="24"/>
      <c r="W47" s="24"/>
      <c r="X47" s="26"/>
      <c r="Y47" s="26"/>
      <c r="Z47" s="26"/>
      <c r="AA47" s="26"/>
      <c r="AB47" s="26"/>
      <c r="AC47" s="26"/>
      <c r="AD47" s="26"/>
      <c r="AE47" s="26"/>
      <c r="AF47" s="26"/>
      <c r="AG47" s="26"/>
      <c r="AH47" s="26"/>
      <c r="AI47" s="26"/>
    </row>
    <row r="48" spans="2:35" x14ac:dyDescent="0.35">
      <c r="B48" s="24"/>
      <c r="C48" s="24"/>
      <c r="D48" s="24"/>
      <c r="E48" s="24"/>
      <c r="F48" s="24"/>
      <c r="G48" s="24"/>
      <c r="H48" s="24"/>
      <c r="I48" s="24"/>
      <c r="J48" s="24"/>
      <c r="K48" s="24"/>
      <c r="L48" s="24"/>
      <c r="M48" s="24"/>
      <c r="N48" s="24"/>
      <c r="O48" s="24"/>
      <c r="P48" s="24"/>
      <c r="Q48" s="24"/>
      <c r="R48" s="24"/>
      <c r="S48" s="24"/>
      <c r="T48" s="24"/>
      <c r="U48" s="24"/>
      <c r="V48" s="24"/>
      <c r="W48" s="24"/>
      <c r="X48" s="26"/>
      <c r="Y48" s="26"/>
      <c r="Z48" s="26"/>
      <c r="AA48" s="26"/>
      <c r="AB48" s="26"/>
      <c r="AC48" s="26"/>
      <c r="AD48" s="26"/>
      <c r="AE48" s="26"/>
      <c r="AF48" s="26"/>
      <c r="AG48" s="26"/>
      <c r="AH48" s="26"/>
      <c r="AI48" s="26"/>
    </row>
    <row r="49" spans="2:35" x14ac:dyDescent="0.35">
      <c r="B49" s="24"/>
      <c r="C49" s="24"/>
      <c r="D49" s="24"/>
      <c r="E49" s="24"/>
      <c r="F49" s="24"/>
      <c r="G49" s="24"/>
      <c r="H49" s="24"/>
      <c r="I49" s="24"/>
      <c r="J49" s="24"/>
      <c r="K49" s="24"/>
      <c r="L49" s="24"/>
      <c r="M49" s="24"/>
      <c r="N49" s="24"/>
      <c r="O49" s="24"/>
      <c r="P49" s="24"/>
      <c r="Q49" s="24"/>
      <c r="R49" s="24"/>
      <c r="S49" s="24"/>
      <c r="T49" s="24"/>
      <c r="U49" s="24"/>
      <c r="V49" s="24"/>
      <c r="W49" s="24"/>
      <c r="X49" s="26"/>
      <c r="Y49" s="26"/>
      <c r="Z49" s="26"/>
      <c r="AA49" s="26"/>
      <c r="AB49" s="26"/>
      <c r="AC49" s="26"/>
      <c r="AD49" s="26"/>
      <c r="AE49" s="26"/>
      <c r="AF49" s="26"/>
      <c r="AG49" s="26"/>
      <c r="AH49" s="26"/>
      <c r="AI49" s="26"/>
    </row>
    <row r="50" spans="2:35" x14ac:dyDescent="0.35">
      <c r="B50" s="24"/>
      <c r="C50" s="24"/>
      <c r="D50" s="24"/>
      <c r="E50" s="24"/>
      <c r="F50" s="24"/>
      <c r="G50" s="24"/>
      <c r="H50" s="24"/>
      <c r="I50" s="24"/>
      <c r="J50" s="24"/>
      <c r="K50" s="24"/>
      <c r="L50" s="24"/>
      <c r="M50" s="24"/>
      <c r="N50" s="24"/>
      <c r="O50" s="24"/>
      <c r="P50" s="24"/>
      <c r="Q50" s="24"/>
      <c r="R50" s="24"/>
      <c r="S50" s="24"/>
      <c r="T50" s="24"/>
      <c r="U50" s="24"/>
      <c r="V50" s="24"/>
      <c r="W50" s="24"/>
      <c r="X50" s="26"/>
      <c r="Y50" s="26"/>
      <c r="Z50" s="26"/>
      <c r="AA50" s="26"/>
      <c r="AB50" s="26"/>
      <c r="AC50" s="26"/>
      <c r="AD50" s="26"/>
      <c r="AE50" s="26"/>
      <c r="AF50" s="26"/>
      <c r="AG50" s="26"/>
      <c r="AH50" s="26"/>
      <c r="AI50" s="26"/>
    </row>
    <row r="51" spans="2:35" x14ac:dyDescent="0.35">
      <c r="B51" s="24"/>
      <c r="C51" s="24"/>
      <c r="D51" s="24"/>
      <c r="E51" s="24"/>
      <c r="F51" s="24"/>
      <c r="G51" s="24"/>
      <c r="H51" s="24"/>
      <c r="I51" s="24"/>
      <c r="J51" s="24"/>
      <c r="K51" s="24"/>
      <c r="L51" s="24"/>
      <c r="M51" s="24"/>
      <c r="N51" s="24"/>
      <c r="O51" s="24"/>
      <c r="P51" s="24"/>
      <c r="Q51" s="24"/>
      <c r="R51" s="24"/>
      <c r="S51" s="24"/>
      <c r="T51" s="24"/>
      <c r="U51" s="24"/>
      <c r="V51" s="24"/>
      <c r="W51" s="24"/>
      <c r="X51" s="26"/>
      <c r="Y51" s="26"/>
      <c r="Z51" s="26"/>
      <c r="AA51" s="26"/>
      <c r="AB51" s="26"/>
      <c r="AC51" s="26"/>
      <c r="AD51" s="26"/>
      <c r="AE51" s="26"/>
      <c r="AF51" s="26"/>
      <c r="AG51" s="26"/>
      <c r="AH51" s="26"/>
      <c r="AI51" s="26"/>
    </row>
    <row r="52" spans="2:35" x14ac:dyDescent="0.35">
      <c r="B52" s="24"/>
      <c r="C52" s="24"/>
      <c r="D52" s="24"/>
      <c r="E52" s="24"/>
      <c r="F52" s="24"/>
      <c r="G52" s="24"/>
      <c r="H52" s="24"/>
      <c r="I52" s="24"/>
      <c r="J52" s="24"/>
      <c r="K52" s="24"/>
      <c r="L52" s="24"/>
      <c r="M52" s="24"/>
      <c r="N52" s="24"/>
      <c r="O52" s="24"/>
      <c r="P52" s="24"/>
      <c r="Q52" s="24"/>
      <c r="R52" s="24"/>
      <c r="S52" s="24"/>
      <c r="T52" s="24"/>
      <c r="U52" s="24"/>
      <c r="V52" s="24"/>
      <c r="W52" s="24"/>
      <c r="X52" s="26"/>
      <c r="Y52" s="26"/>
      <c r="Z52" s="26"/>
      <c r="AA52" s="26"/>
      <c r="AB52" s="26"/>
      <c r="AC52" s="26"/>
      <c r="AD52" s="26"/>
      <c r="AE52" s="26"/>
      <c r="AF52" s="26"/>
      <c r="AG52" s="26"/>
      <c r="AH52" s="26"/>
      <c r="AI52" s="26"/>
    </row>
    <row r="53" spans="2:35" x14ac:dyDescent="0.35">
      <c r="B53" s="24"/>
      <c r="C53" s="24"/>
      <c r="D53" s="24"/>
      <c r="E53" s="24"/>
      <c r="F53" s="24"/>
      <c r="G53" s="24"/>
      <c r="H53" s="24"/>
      <c r="I53" s="24"/>
      <c r="J53" s="24"/>
      <c r="K53" s="24"/>
      <c r="L53" s="24"/>
      <c r="M53" s="24"/>
      <c r="N53" s="24"/>
      <c r="O53" s="24"/>
      <c r="P53" s="24"/>
      <c r="Q53" s="24"/>
      <c r="R53" s="24"/>
      <c r="S53" s="24"/>
      <c r="T53" s="24"/>
      <c r="U53" s="24"/>
      <c r="V53" s="24"/>
      <c r="W53" s="24"/>
      <c r="X53" s="26"/>
      <c r="Y53" s="26"/>
      <c r="Z53" s="26"/>
      <c r="AA53" s="26"/>
      <c r="AB53" s="26"/>
      <c r="AC53" s="26"/>
      <c r="AD53" s="26"/>
      <c r="AE53" s="26"/>
      <c r="AF53" s="26"/>
      <c r="AG53" s="26"/>
      <c r="AH53" s="26"/>
      <c r="AI53" s="26"/>
    </row>
    <row r="54" spans="2:35" x14ac:dyDescent="0.35">
      <c r="B54" s="24"/>
      <c r="C54" s="24"/>
      <c r="D54" s="24"/>
      <c r="E54" s="24"/>
      <c r="F54" s="24"/>
      <c r="G54" s="24"/>
      <c r="H54" s="24"/>
      <c r="I54" s="24"/>
      <c r="J54" s="24"/>
      <c r="K54" s="24"/>
      <c r="L54" s="24"/>
      <c r="M54" s="24"/>
      <c r="N54" s="24"/>
      <c r="O54" s="24"/>
      <c r="P54" s="24"/>
      <c r="Q54" s="24"/>
      <c r="R54" s="24"/>
      <c r="S54" s="24"/>
      <c r="T54" s="24"/>
      <c r="U54" s="24"/>
      <c r="V54" s="24"/>
      <c r="W54" s="24"/>
      <c r="X54" s="26"/>
      <c r="Y54" s="26"/>
      <c r="Z54" s="26"/>
      <c r="AA54" s="26"/>
      <c r="AB54" s="26"/>
      <c r="AC54" s="26"/>
      <c r="AD54" s="26"/>
      <c r="AE54" s="26"/>
      <c r="AF54" s="26"/>
      <c r="AG54" s="26"/>
      <c r="AH54" s="26"/>
      <c r="AI54" s="26"/>
    </row>
    <row r="55" spans="2:35" x14ac:dyDescent="0.35">
      <c r="B55" s="24"/>
      <c r="C55" s="24"/>
      <c r="D55" s="24"/>
      <c r="E55" s="24"/>
      <c r="F55" s="24"/>
      <c r="G55" s="24"/>
      <c r="H55" s="24"/>
      <c r="I55" s="24"/>
      <c r="J55" s="24"/>
      <c r="K55" s="24"/>
      <c r="L55" s="24"/>
      <c r="M55" s="24"/>
      <c r="N55" s="24"/>
      <c r="O55" s="24"/>
      <c r="P55" s="24"/>
      <c r="Q55" s="24"/>
      <c r="R55" s="24"/>
      <c r="S55" s="24"/>
      <c r="T55" s="24"/>
      <c r="U55" s="24"/>
      <c r="V55" s="24"/>
      <c r="W55" s="24"/>
      <c r="X55" s="26"/>
      <c r="Y55" s="26"/>
      <c r="Z55" s="26"/>
      <c r="AA55" s="26"/>
      <c r="AB55" s="26"/>
      <c r="AC55" s="26"/>
      <c r="AD55" s="26"/>
      <c r="AE55" s="26"/>
      <c r="AF55" s="26"/>
      <c r="AG55" s="26"/>
      <c r="AH55" s="26"/>
      <c r="AI55" s="26"/>
    </row>
    <row r="56" spans="2:35" x14ac:dyDescent="0.35">
      <c r="B56" s="24"/>
      <c r="C56" s="24"/>
      <c r="D56" s="24"/>
      <c r="E56" s="24"/>
      <c r="F56" s="24"/>
      <c r="G56" s="24"/>
      <c r="H56" s="24"/>
      <c r="I56" s="24"/>
      <c r="J56" s="24"/>
      <c r="K56" s="24"/>
      <c r="L56" s="24"/>
      <c r="M56" s="24"/>
      <c r="N56" s="24"/>
      <c r="O56" s="24"/>
      <c r="P56" s="24"/>
      <c r="Q56" s="24"/>
      <c r="R56" s="24"/>
      <c r="S56" s="24"/>
      <c r="T56" s="24"/>
      <c r="U56" s="24"/>
      <c r="V56" s="24"/>
      <c r="W56" s="24"/>
      <c r="X56" s="26"/>
      <c r="Y56" s="26"/>
      <c r="Z56" s="26"/>
      <c r="AA56" s="26"/>
      <c r="AB56" s="26"/>
      <c r="AC56" s="26"/>
      <c r="AD56" s="26"/>
      <c r="AE56" s="26"/>
      <c r="AF56" s="26"/>
      <c r="AG56" s="26"/>
      <c r="AH56" s="26"/>
      <c r="AI56" s="26"/>
    </row>
    <row r="57" spans="2:35" x14ac:dyDescent="0.35">
      <c r="B57" s="24"/>
      <c r="C57" s="24"/>
      <c r="D57" s="24"/>
      <c r="E57" s="24"/>
      <c r="F57" s="24"/>
      <c r="G57" s="24"/>
      <c r="H57" s="24"/>
      <c r="I57" s="24"/>
      <c r="J57" s="24"/>
      <c r="K57" s="24"/>
      <c r="L57" s="24"/>
      <c r="M57" s="24"/>
      <c r="N57" s="24"/>
      <c r="O57" s="24"/>
      <c r="P57" s="24"/>
      <c r="Q57" s="24"/>
      <c r="R57" s="24"/>
      <c r="S57" s="24"/>
      <c r="T57" s="24"/>
      <c r="U57" s="24"/>
      <c r="V57" s="24"/>
      <c r="W57" s="24"/>
      <c r="X57" s="26"/>
      <c r="Y57" s="26"/>
      <c r="Z57" s="26"/>
      <c r="AA57" s="26"/>
      <c r="AB57" s="26"/>
      <c r="AC57" s="26"/>
      <c r="AD57" s="26"/>
      <c r="AE57" s="26"/>
      <c r="AF57" s="26"/>
      <c r="AG57" s="26"/>
      <c r="AH57" s="26"/>
      <c r="AI57" s="26"/>
    </row>
    <row r="58" spans="2:35" x14ac:dyDescent="0.35">
      <c r="B58" s="24"/>
      <c r="C58" s="24"/>
      <c r="D58" s="24"/>
      <c r="E58" s="24"/>
      <c r="F58" s="24"/>
      <c r="G58" s="24"/>
      <c r="H58" s="24"/>
      <c r="I58" s="24"/>
      <c r="J58" s="24"/>
      <c r="K58" s="24"/>
      <c r="L58" s="24"/>
      <c r="M58" s="24"/>
      <c r="N58" s="24"/>
      <c r="O58" s="24"/>
      <c r="P58" s="24"/>
      <c r="Q58" s="24"/>
      <c r="R58" s="24"/>
      <c r="S58" s="24"/>
      <c r="T58" s="24"/>
      <c r="U58" s="24"/>
      <c r="V58" s="24"/>
      <c r="W58" s="24"/>
      <c r="X58" s="26"/>
      <c r="Y58" s="26"/>
      <c r="Z58" s="26"/>
      <c r="AA58" s="26"/>
      <c r="AB58" s="26"/>
      <c r="AC58" s="26"/>
      <c r="AD58" s="26"/>
      <c r="AE58" s="26"/>
      <c r="AF58" s="26"/>
      <c r="AG58" s="26"/>
      <c r="AH58" s="26"/>
      <c r="AI58" s="26"/>
    </row>
    <row r="59" spans="2:35" x14ac:dyDescent="0.35">
      <c r="B59" s="24"/>
      <c r="C59" s="24"/>
      <c r="D59" s="24"/>
      <c r="E59" s="24"/>
      <c r="F59" s="24"/>
      <c r="G59" s="24"/>
      <c r="H59" s="24"/>
      <c r="I59" s="24"/>
      <c r="J59" s="24"/>
      <c r="K59" s="24"/>
      <c r="L59" s="24"/>
      <c r="M59" s="24"/>
      <c r="N59" s="24"/>
      <c r="O59" s="24"/>
      <c r="P59" s="24"/>
      <c r="Q59" s="24"/>
      <c r="R59" s="24"/>
      <c r="S59" s="24"/>
      <c r="T59" s="24"/>
      <c r="U59" s="24"/>
      <c r="V59" s="24"/>
      <c r="W59" s="24"/>
      <c r="X59" s="26"/>
      <c r="Y59" s="26"/>
      <c r="Z59" s="26"/>
      <c r="AA59" s="26"/>
      <c r="AB59" s="26"/>
      <c r="AC59" s="26"/>
      <c r="AD59" s="26"/>
      <c r="AE59" s="26"/>
      <c r="AF59" s="26"/>
      <c r="AG59" s="26"/>
      <c r="AH59" s="26"/>
      <c r="AI59" s="26"/>
    </row>
    <row r="60" spans="2:35" x14ac:dyDescent="0.35">
      <c r="B60" s="24"/>
      <c r="C60" s="24"/>
      <c r="D60" s="24"/>
      <c r="E60" s="24"/>
      <c r="F60" s="24"/>
      <c r="G60" s="24"/>
      <c r="H60" s="24"/>
      <c r="I60" s="24"/>
      <c r="J60" s="24"/>
      <c r="K60" s="24"/>
      <c r="L60" s="24"/>
      <c r="M60" s="24"/>
      <c r="N60" s="24"/>
      <c r="O60" s="24"/>
      <c r="P60" s="24"/>
      <c r="Q60" s="24"/>
      <c r="R60" s="24"/>
      <c r="S60" s="24"/>
      <c r="T60" s="24"/>
      <c r="U60" s="24"/>
      <c r="V60" s="24"/>
      <c r="W60" s="24"/>
      <c r="X60" s="26"/>
      <c r="Y60" s="26"/>
      <c r="Z60" s="26"/>
      <c r="AA60" s="26"/>
      <c r="AB60" s="26"/>
      <c r="AC60" s="26"/>
      <c r="AD60" s="26"/>
      <c r="AE60" s="26"/>
      <c r="AF60" s="26"/>
      <c r="AG60" s="26"/>
      <c r="AH60" s="26"/>
      <c r="AI60" s="26"/>
    </row>
    <row r="61" spans="2:35" x14ac:dyDescent="0.35">
      <c r="B61" s="24"/>
      <c r="C61" s="24"/>
      <c r="D61" s="24"/>
      <c r="E61" s="24"/>
      <c r="F61" s="24"/>
      <c r="G61" s="24"/>
      <c r="H61" s="24"/>
      <c r="I61" s="24"/>
      <c r="J61" s="24"/>
      <c r="K61" s="24"/>
      <c r="L61" s="24"/>
      <c r="M61" s="24"/>
      <c r="N61" s="24"/>
      <c r="O61" s="24"/>
      <c r="P61" s="24"/>
      <c r="Q61" s="24"/>
      <c r="R61" s="24"/>
      <c r="S61" s="24"/>
      <c r="T61" s="24"/>
      <c r="U61" s="24"/>
      <c r="V61" s="24"/>
      <c r="W61" s="24"/>
      <c r="X61" s="26"/>
      <c r="Y61" s="26"/>
      <c r="Z61" s="26"/>
      <c r="AA61" s="26"/>
      <c r="AB61" s="26"/>
      <c r="AC61" s="26"/>
      <c r="AD61" s="26"/>
      <c r="AE61" s="26"/>
      <c r="AF61" s="26"/>
      <c r="AG61" s="26"/>
      <c r="AH61" s="26"/>
      <c r="AI61" s="26"/>
    </row>
    <row r="62" spans="2:35" x14ac:dyDescent="0.35">
      <c r="B62" s="24"/>
      <c r="C62" s="24"/>
      <c r="D62" s="24"/>
      <c r="E62" s="24"/>
      <c r="F62" s="24"/>
      <c r="G62" s="24"/>
      <c r="H62" s="24"/>
      <c r="I62" s="24"/>
      <c r="J62" s="24"/>
      <c r="K62" s="24"/>
      <c r="L62" s="24"/>
      <c r="M62" s="24"/>
      <c r="N62" s="24"/>
      <c r="O62" s="24"/>
      <c r="P62" s="24"/>
      <c r="Q62" s="24"/>
      <c r="R62" s="24"/>
      <c r="S62" s="24"/>
      <c r="T62" s="24"/>
      <c r="U62" s="24"/>
      <c r="V62" s="24"/>
      <c r="W62" s="24"/>
      <c r="X62" s="26"/>
      <c r="Y62" s="26"/>
      <c r="Z62" s="26"/>
      <c r="AA62" s="26"/>
      <c r="AB62" s="26"/>
      <c r="AC62" s="26"/>
      <c r="AD62" s="26"/>
      <c r="AE62" s="26"/>
      <c r="AF62" s="26"/>
      <c r="AG62" s="26"/>
      <c r="AH62" s="26"/>
      <c r="AI62" s="26"/>
    </row>
    <row r="63" spans="2:35" x14ac:dyDescent="0.35">
      <c r="B63" s="24"/>
      <c r="C63" s="24"/>
      <c r="D63" s="24"/>
      <c r="E63" s="24"/>
      <c r="F63" s="24"/>
      <c r="G63" s="24"/>
      <c r="H63" s="24"/>
      <c r="I63" s="24"/>
      <c r="J63" s="24"/>
      <c r="K63" s="24"/>
      <c r="L63" s="24"/>
      <c r="M63" s="24"/>
      <c r="N63" s="24"/>
      <c r="O63" s="24"/>
      <c r="P63" s="24"/>
      <c r="Q63" s="24"/>
      <c r="R63" s="24"/>
      <c r="S63" s="24"/>
      <c r="T63" s="24"/>
      <c r="U63" s="24"/>
      <c r="V63" s="24"/>
      <c r="W63" s="24"/>
      <c r="X63" s="26"/>
      <c r="Y63" s="26"/>
      <c r="Z63" s="26"/>
      <c r="AA63" s="26"/>
      <c r="AB63" s="26"/>
      <c r="AC63" s="26"/>
      <c r="AD63" s="26"/>
      <c r="AE63" s="26"/>
      <c r="AF63" s="26"/>
      <c r="AG63" s="26"/>
      <c r="AH63" s="26"/>
      <c r="AI63" s="26"/>
    </row>
    <row r="64" spans="2:35" x14ac:dyDescent="0.35">
      <c r="B64" s="24"/>
      <c r="C64" s="24"/>
      <c r="D64" s="24"/>
      <c r="E64" s="24"/>
      <c r="F64" s="24"/>
      <c r="G64" s="24"/>
      <c r="H64" s="24"/>
      <c r="I64" s="24"/>
      <c r="J64" s="24"/>
      <c r="K64" s="24"/>
      <c r="L64" s="24"/>
      <c r="M64" s="24"/>
      <c r="N64" s="24"/>
      <c r="O64" s="24"/>
      <c r="P64" s="24"/>
      <c r="Q64" s="24"/>
      <c r="R64" s="24"/>
      <c r="S64" s="24"/>
      <c r="T64" s="24"/>
      <c r="U64" s="24"/>
      <c r="V64" s="24"/>
      <c r="W64" s="24"/>
      <c r="X64" s="26"/>
      <c r="Y64" s="26"/>
      <c r="Z64" s="26"/>
      <c r="AA64" s="26"/>
      <c r="AB64" s="26"/>
      <c r="AC64" s="26"/>
      <c r="AD64" s="26"/>
      <c r="AE64" s="26"/>
      <c r="AF64" s="26"/>
      <c r="AG64" s="26"/>
      <c r="AH64" s="26"/>
      <c r="AI64" s="26"/>
    </row>
    <row r="65" spans="2:35" x14ac:dyDescent="0.35">
      <c r="B65" s="24"/>
      <c r="C65" s="24"/>
      <c r="D65" s="24"/>
      <c r="E65" s="24"/>
      <c r="F65" s="24"/>
      <c r="G65" s="24"/>
      <c r="H65" s="24"/>
      <c r="I65" s="24"/>
      <c r="J65" s="24"/>
      <c r="K65" s="24"/>
      <c r="L65" s="24"/>
      <c r="M65" s="24"/>
      <c r="N65" s="24"/>
      <c r="O65" s="24"/>
      <c r="P65" s="24"/>
      <c r="Q65" s="24"/>
      <c r="R65" s="24"/>
      <c r="S65" s="24"/>
      <c r="T65" s="24"/>
      <c r="U65" s="24"/>
      <c r="V65" s="24"/>
      <c r="W65" s="24"/>
      <c r="X65" s="26"/>
      <c r="Y65" s="26"/>
      <c r="Z65" s="26"/>
      <c r="AA65" s="26"/>
      <c r="AB65" s="26"/>
      <c r="AC65" s="26"/>
      <c r="AD65" s="26"/>
      <c r="AE65" s="26"/>
      <c r="AF65" s="26"/>
      <c r="AG65" s="26"/>
      <c r="AH65" s="26"/>
      <c r="AI65" s="26"/>
    </row>
    <row r="66" spans="2:35" x14ac:dyDescent="0.35">
      <c r="B66" s="24"/>
      <c r="C66" s="24"/>
      <c r="D66" s="24"/>
      <c r="E66" s="24"/>
      <c r="F66" s="24"/>
      <c r="G66" s="24"/>
      <c r="H66" s="24"/>
      <c r="I66" s="24"/>
      <c r="J66" s="24"/>
      <c r="K66" s="24"/>
      <c r="L66" s="24"/>
      <c r="M66" s="24"/>
      <c r="N66" s="24"/>
      <c r="O66" s="24"/>
      <c r="P66" s="24"/>
      <c r="Q66" s="24"/>
      <c r="R66" s="24"/>
      <c r="S66" s="24"/>
      <c r="T66" s="24"/>
      <c r="U66" s="24"/>
      <c r="V66" s="24"/>
      <c r="W66" s="24"/>
      <c r="X66" s="26"/>
      <c r="Y66" s="26"/>
      <c r="Z66" s="26"/>
      <c r="AA66" s="26"/>
      <c r="AB66" s="26"/>
      <c r="AC66" s="26"/>
      <c r="AD66" s="26"/>
      <c r="AE66" s="26"/>
      <c r="AF66" s="26"/>
      <c r="AG66" s="26"/>
      <c r="AH66" s="26"/>
      <c r="AI66" s="26"/>
    </row>
    <row r="67" spans="2:35" x14ac:dyDescent="0.35">
      <c r="B67" s="24"/>
      <c r="C67" s="24"/>
      <c r="D67" s="24"/>
      <c r="E67" s="24"/>
      <c r="F67" s="24"/>
      <c r="G67" s="24"/>
      <c r="H67" s="24"/>
      <c r="I67" s="24"/>
      <c r="J67" s="24"/>
      <c r="K67" s="24"/>
      <c r="L67" s="24"/>
      <c r="M67" s="24"/>
      <c r="N67" s="24"/>
      <c r="O67" s="24"/>
      <c r="P67" s="24"/>
      <c r="Q67" s="24"/>
      <c r="R67" s="24"/>
      <c r="S67" s="24"/>
      <c r="T67" s="24"/>
      <c r="U67" s="24"/>
      <c r="V67" s="24"/>
      <c r="W67" s="24"/>
      <c r="X67" s="26"/>
      <c r="Y67" s="26"/>
      <c r="Z67" s="26"/>
      <c r="AA67" s="26"/>
      <c r="AB67" s="26"/>
      <c r="AC67" s="26"/>
      <c r="AD67" s="26"/>
      <c r="AE67" s="26"/>
      <c r="AF67" s="26"/>
      <c r="AG67" s="26"/>
      <c r="AH67" s="26"/>
      <c r="AI67" s="26"/>
    </row>
    <row r="68" spans="2:35" x14ac:dyDescent="0.35">
      <c r="B68" s="24"/>
      <c r="C68" s="24"/>
      <c r="D68" s="24"/>
      <c r="E68" s="24"/>
      <c r="F68" s="24"/>
      <c r="G68" s="24"/>
      <c r="H68" s="24"/>
      <c r="I68" s="24"/>
      <c r="J68" s="24"/>
      <c r="K68" s="24"/>
      <c r="L68" s="24"/>
      <c r="M68" s="24"/>
      <c r="N68" s="24"/>
      <c r="O68" s="24"/>
      <c r="P68" s="24"/>
      <c r="Q68" s="24"/>
      <c r="R68" s="24"/>
      <c r="S68" s="24"/>
      <c r="T68" s="24"/>
      <c r="U68" s="24"/>
      <c r="V68" s="24"/>
      <c r="W68" s="24"/>
      <c r="X68" s="26"/>
      <c r="Y68" s="26"/>
      <c r="Z68" s="26"/>
      <c r="AA68" s="26"/>
      <c r="AB68" s="26"/>
      <c r="AC68" s="26"/>
      <c r="AD68" s="26"/>
      <c r="AE68" s="26"/>
      <c r="AF68" s="26"/>
      <c r="AG68" s="26"/>
      <c r="AH68" s="26"/>
      <c r="AI68" s="26"/>
    </row>
    <row r="69" spans="2:35" x14ac:dyDescent="0.35">
      <c r="B69" s="24"/>
      <c r="C69" s="24"/>
      <c r="D69" s="24"/>
      <c r="E69" s="24"/>
      <c r="F69" s="24"/>
      <c r="G69" s="24"/>
      <c r="H69" s="24"/>
      <c r="I69" s="24"/>
      <c r="J69" s="24"/>
      <c r="K69" s="24"/>
      <c r="L69" s="24"/>
      <c r="M69" s="24"/>
      <c r="N69" s="24"/>
      <c r="O69" s="24"/>
      <c r="P69" s="24"/>
      <c r="Q69" s="24"/>
      <c r="R69" s="24"/>
      <c r="S69" s="24"/>
      <c r="T69" s="24"/>
      <c r="U69" s="24"/>
      <c r="V69" s="24"/>
      <c r="W69" s="24"/>
      <c r="X69" s="26"/>
      <c r="Y69" s="26"/>
      <c r="Z69" s="26"/>
      <c r="AA69" s="26"/>
      <c r="AB69" s="26"/>
      <c r="AC69" s="26"/>
      <c r="AD69" s="26"/>
      <c r="AE69" s="26"/>
      <c r="AF69" s="26"/>
      <c r="AG69" s="26"/>
      <c r="AH69" s="26"/>
      <c r="AI69" s="26"/>
    </row>
    <row r="70" spans="2:35" x14ac:dyDescent="0.35">
      <c r="B70" s="24"/>
      <c r="C70" s="24"/>
      <c r="D70" s="24"/>
      <c r="E70" s="24"/>
      <c r="F70" s="24"/>
      <c r="G70" s="24"/>
      <c r="H70" s="24"/>
      <c r="I70" s="24"/>
      <c r="J70" s="24"/>
      <c r="K70" s="24"/>
      <c r="L70" s="24"/>
      <c r="M70" s="24"/>
      <c r="N70" s="24"/>
      <c r="O70" s="24"/>
      <c r="P70" s="24"/>
      <c r="Q70" s="24"/>
      <c r="R70" s="24"/>
      <c r="S70" s="24"/>
      <c r="T70" s="24"/>
      <c r="U70" s="24"/>
      <c r="V70" s="24"/>
      <c r="W70" s="24"/>
      <c r="X70" s="26"/>
      <c r="Y70" s="26"/>
      <c r="Z70" s="26"/>
      <c r="AA70" s="26"/>
      <c r="AB70" s="26"/>
      <c r="AC70" s="26"/>
      <c r="AD70" s="26"/>
      <c r="AE70" s="26"/>
      <c r="AF70" s="26"/>
      <c r="AG70" s="26"/>
      <c r="AH70" s="26"/>
      <c r="AI70" s="26"/>
    </row>
    <row r="71" spans="2:35" x14ac:dyDescent="0.35">
      <c r="B71" s="24"/>
      <c r="C71" s="24"/>
      <c r="D71" s="24"/>
      <c r="E71" s="24"/>
      <c r="F71" s="24"/>
      <c r="G71" s="24"/>
      <c r="H71" s="24"/>
      <c r="I71" s="24"/>
      <c r="J71" s="24"/>
      <c r="K71" s="24"/>
      <c r="L71" s="24"/>
      <c r="M71" s="24"/>
      <c r="N71" s="24"/>
      <c r="O71" s="24"/>
      <c r="P71" s="24"/>
      <c r="Q71" s="24"/>
      <c r="R71" s="24"/>
      <c r="S71" s="24"/>
      <c r="T71" s="24"/>
      <c r="U71" s="24"/>
      <c r="V71" s="24"/>
      <c r="W71" s="24"/>
      <c r="X71" s="26"/>
      <c r="Y71" s="26"/>
      <c r="Z71" s="26"/>
      <c r="AA71" s="26"/>
      <c r="AB71" s="26"/>
      <c r="AC71" s="26"/>
      <c r="AD71" s="26"/>
      <c r="AE71" s="26"/>
      <c r="AF71" s="26"/>
      <c r="AG71" s="26"/>
      <c r="AH71" s="26"/>
      <c r="AI71" s="26"/>
    </row>
    <row r="72" spans="2:35" x14ac:dyDescent="0.35">
      <c r="B72" s="24"/>
      <c r="C72" s="24"/>
      <c r="D72" s="24"/>
      <c r="E72" s="24"/>
      <c r="F72" s="24"/>
      <c r="G72" s="24"/>
      <c r="H72" s="24"/>
      <c r="I72" s="24"/>
      <c r="J72" s="24"/>
      <c r="K72" s="24"/>
      <c r="L72" s="24"/>
      <c r="M72" s="24"/>
      <c r="N72" s="24"/>
      <c r="O72" s="24"/>
      <c r="P72" s="24"/>
      <c r="Q72" s="24"/>
      <c r="R72" s="24"/>
      <c r="S72" s="24"/>
      <c r="T72" s="24"/>
      <c r="U72" s="24"/>
      <c r="V72" s="24"/>
      <c r="W72" s="24"/>
      <c r="X72" s="26"/>
      <c r="Y72" s="26"/>
      <c r="Z72" s="26"/>
      <c r="AA72" s="26"/>
      <c r="AB72" s="26"/>
      <c r="AC72" s="26"/>
      <c r="AD72" s="26"/>
      <c r="AE72" s="26"/>
      <c r="AF72" s="26"/>
      <c r="AG72" s="26"/>
      <c r="AH72" s="26"/>
      <c r="AI72" s="26"/>
    </row>
    <row r="73" spans="2:35" x14ac:dyDescent="0.35">
      <c r="B73" s="24"/>
      <c r="C73" s="24"/>
      <c r="D73" s="24"/>
      <c r="E73" s="24"/>
      <c r="F73" s="24"/>
      <c r="G73" s="24"/>
      <c r="H73" s="24"/>
      <c r="I73" s="24"/>
      <c r="J73" s="24"/>
      <c r="K73" s="24"/>
      <c r="L73" s="24"/>
      <c r="M73" s="24"/>
      <c r="N73" s="24"/>
      <c r="O73" s="24"/>
      <c r="P73" s="24"/>
      <c r="Q73" s="24"/>
      <c r="R73" s="24"/>
      <c r="S73" s="24"/>
      <c r="T73" s="24"/>
      <c r="U73" s="24"/>
      <c r="V73" s="24"/>
      <c r="W73" s="24"/>
      <c r="X73" s="26"/>
      <c r="Y73" s="26"/>
      <c r="Z73" s="26"/>
      <c r="AA73" s="26"/>
      <c r="AB73" s="26"/>
      <c r="AC73" s="26"/>
      <c r="AD73" s="26"/>
      <c r="AE73" s="26"/>
      <c r="AF73" s="26"/>
      <c r="AG73" s="26"/>
      <c r="AH73" s="26"/>
      <c r="AI73" s="26"/>
    </row>
    <row r="74" spans="2:35" x14ac:dyDescent="0.35">
      <c r="B74" s="24"/>
      <c r="C74" s="24"/>
      <c r="D74" s="24"/>
      <c r="E74" s="24"/>
      <c r="F74" s="24"/>
      <c r="G74" s="24"/>
      <c r="H74" s="24"/>
      <c r="I74" s="24"/>
      <c r="J74" s="24"/>
      <c r="K74" s="24"/>
      <c r="L74" s="24"/>
      <c r="M74" s="24"/>
      <c r="N74" s="24"/>
      <c r="O74" s="24"/>
      <c r="P74" s="24"/>
      <c r="Q74" s="24"/>
      <c r="R74" s="24"/>
      <c r="S74" s="24"/>
      <c r="T74" s="24"/>
      <c r="U74" s="24"/>
      <c r="V74" s="24"/>
      <c r="W74" s="24"/>
      <c r="X74" s="26"/>
      <c r="Y74" s="26"/>
      <c r="Z74" s="26"/>
      <c r="AA74" s="26"/>
      <c r="AB74" s="26"/>
      <c r="AC74" s="26"/>
      <c r="AD74" s="26"/>
      <c r="AE74" s="26"/>
      <c r="AF74" s="26"/>
      <c r="AG74" s="26"/>
      <c r="AH74" s="26"/>
      <c r="AI74" s="26"/>
    </row>
    <row r="75" spans="2:35" x14ac:dyDescent="0.35">
      <c r="B75" s="24"/>
      <c r="C75" s="24"/>
      <c r="D75" s="24"/>
      <c r="E75" s="24"/>
      <c r="F75" s="24"/>
      <c r="G75" s="24"/>
      <c r="H75" s="24"/>
      <c r="I75" s="24"/>
      <c r="J75" s="24"/>
      <c r="K75" s="24"/>
      <c r="L75" s="24"/>
      <c r="M75" s="24"/>
      <c r="N75" s="24"/>
      <c r="O75" s="24"/>
      <c r="P75" s="24"/>
      <c r="Q75" s="24"/>
      <c r="R75" s="24"/>
      <c r="S75" s="24"/>
      <c r="T75" s="24"/>
      <c r="U75" s="24"/>
      <c r="V75" s="24"/>
      <c r="W75" s="24"/>
      <c r="X75" s="26"/>
      <c r="Y75" s="26"/>
      <c r="Z75" s="26"/>
      <c r="AA75" s="26"/>
      <c r="AB75" s="26"/>
      <c r="AC75" s="26"/>
      <c r="AD75" s="26"/>
      <c r="AE75" s="26"/>
      <c r="AF75" s="26"/>
      <c r="AG75" s="26"/>
      <c r="AH75" s="26"/>
      <c r="AI75" s="26"/>
    </row>
    <row r="76" spans="2:35" x14ac:dyDescent="0.35">
      <c r="B76" s="24"/>
      <c r="C76" s="24"/>
      <c r="D76" s="24"/>
      <c r="E76" s="24"/>
      <c r="F76" s="24"/>
      <c r="G76" s="24"/>
      <c r="H76" s="24"/>
      <c r="I76" s="24"/>
      <c r="J76" s="24"/>
      <c r="K76" s="24"/>
      <c r="L76" s="24"/>
      <c r="M76" s="24"/>
      <c r="N76" s="24"/>
      <c r="O76" s="24"/>
      <c r="P76" s="24"/>
      <c r="Q76" s="24"/>
      <c r="R76" s="24"/>
      <c r="S76" s="24"/>
      <c r="T76" s="24"/>
      <c r="U76" s="24"/>
      <c r="V76" s="24"/>
      <c r="W76" s="24"/>
      <c r="X76" s="26"/>
      <c r="Y76" s="26"/>
      <c r="Z76" s="26"/>
      <c r="AA76" s="26"/>
      <c r="AB76" s="26"/>
      <c r="AC76" s="26"/>
      <c r="AD76" s="26"/>
      <c r="AE76" s="26"/>
      <c r="AF76" s="26"/>
      <c r="AG76" s="26"/>
      <c r="AH76" s="26"/>
      <c r="AI76" s="26"/>
    </row>
    <row r="77" spans="2:35" x14ac:dyDescent="0.35">
      <c r="B77" s="24"/>
      <c r="C77" s="24"/>
      <c r="D77" s="24"/>
      <c r="E77" s="24"/>
      <c r="F77" s="24"/>
      <c r="G77" s="24"/>
      <c r="H77" s="24"/>
      <c r="I77" s="24"/>
      <c r="J77" s="24"/>
      <c r="K77" s="24"/>
      <c r="L77" s="24"/>
      <c r="M77" s="24"/>
      <c r="N77" s="24"/>
      <c r="O77" s="24"/>
      <c r="P77" s="24"/>
      <c r="Q77" s="24"/>
      <c r="R77" s="24"/>
      <c r="S77" s="24"/>
      <c r="T77" s="24"/>
      <c r="U77" s="24"/>
      <c r="V77" s="24"/>
      <c r="W77" s="24"/>
      <c r="X77" s="26"/>
      <c r="Y77" s="26"/>
      <c r="Z77" s="26"/>
      <c r="AA77" s="26"/>
      <c r="AB77" s="26"/>
      <c r="AC77" s="26"/>
      <c r="AD77" s="26"/>
      <c r="AE77" s="26"/>
      <c r="AF77" s="26"/>
      <c r="AG77" s="26"/>
      <c r="AH77" s="26"/>
      <c r="AI77" s="26"/>
    </row>
    <row r="78" spans="2:35" x14ac:dyDescent="0.35">
      <c r="B78" s="24"/>
      <c r="C78" s="24"/>
      <c r="D78" s="24"/>
      <c r="E78" s="24"/>
      <c r="F78" s="24"/>
      <c r="G78" s="24"/>
      <c r="H78" s="24"/>
      <c r="I78" s="24"/>
      <c r="J78" s="24"/>
      <c r="K78" s="24"/>
      <c r="L78" s="24"/>
      <c r="M78" s="24"/>
      <c r="N78" s="24"/>
      <c r="O78" s="24"/>
      <c r="P78" s="24"/>
      <c r="Q78" s="24"/>
      <c r="R78" s="24"/>
      <c r="S78" s="24"/>
      <c r="T78" s="24"/>
      <c r="U78" s="24"/>
      <c r="V78" s="24"/>
      <c r="W78" s="24"/>
      <c r="X78" s="26"/>
      <c r="Y78" s="26"/>
      <c r="Z78" s="26"/>
      <c r="AA78" s="26"/>
      <c r="AB78" s="26"/>
      <c r="AC78" s="26"/>
      <c r="AD78" s="26"/>
      <c r="AE78" s="26"/>
      <c r="AF78" s="26"/>
      <c r="AG78" s="26"/>
      <c r="AH78" s="26"/>
      <c r="AI78" s="26"/>
    </row>
    <row r="79" spans="2:35" x14ac:dyDescent="0.35">
      <c r="B79" s="24"/>
      <c r="C79" s="24"/>
      <c r="D79" s="24"/>
      <c r="E79" s="24"/>
      <c r="F79" s="24"/>
      <c r="G79" s="24"/>
      <c r="H79" s="24"/>
      <c r="I79" s="24"/>
      <c r="J79" s="24"/>
      <c r="K79" s="24"/>
      <c r="L79" s="24"/>
      <c r="M79" s="24"/>
      <c r="N79" s="24"/>
      <c r="O79" s="24"/>
      <c r="P79" s="24"/>
      <c r="Q79" s="24"/>
      <c r="R79" s="24"/>
      <c r="S79" s="24"/>
      <c r="T79" s="24"/>
      <c r="U79" s="24"/>
      <c r="V79" s="24"/>
      <c r="W79" s="24"/>
      <c r="X79" s="26"/>
      <c r="Y79" s="26"/>
      <c r="Z79" s="26"/>
      <c r="AA79" s="26"/>
      <c r="AB79" s="26"/>
      <c r="AC79" s="26"/>
      <c r="AD79" s="26"/>
      <c r="AE79" s="26"/>
      <c r="AF79" s="26"/>
      <c r="AG79" s="26"/>
      <c r="AH79" s="26"/>
      <c r="AI79" s="26"/>
    </row>
    <row r="80" spans="2:35" x14ac:dyDescent="0.35">
      <c r="B80" s="24"/>
      <c r="C80" s="24"/>
      <c r="D80" s="24"/>
      <c r="E80" s="24"/>
      <c r="F80" s="24"/>
      <c r="G80" s="24"/>
      <c r="H80" s="24"/>
      <c r="I80" s="24"/>
      <c r="J80" s="24"/>
      <c r="K80" s="24"/>
      <c r="L80" s="24"/>
      <c r="M80" s="24"/>
      <c r="N80" s="24"/>
      <c r="O80" s="24"/>
      <c r="P80" s="24"/>
      <c r="Q80" s="24"/>
      <c r="R80" s="24"/>
      <c r="S80" s="24"/>
      <c r="T80" s="24"/>
      <c r="U80" s="24"/>
      <c r="V80" s="24"/>
      <c r="W80" s="24"/>
      <c r="X80" s="26"/>
      <c r="Y80" s="26"/>
      <c r="Z80" s="26"/>
      <c r="AA80" s="26"/>
      <c r="AB80" s="26"/>
      <c r="AC80" s="26"/>
      <c r="AD80" s="26"/>
      <c r="AE80" s="26"/>
      <c r="AF80" s="26"/>
      <c r="AG80" s="26"/>
      <c r="AH80" s="26"/>
      <c r="AI80" s="26"/>
    </row>
    <row r="81" spans="2:35" x14ac:dyDescent="0.35">
      <c r="B81" s="24"/>
      <c r="C81" s="24"/>
      <c r="D81" s="24"/>
      <c r="E81" s="24"/>
      <c r="F81" s="24"/>
      <c r="G81" s="24"/>
      <c r="H81" s="24"/>
      <c r="I81" s="24"/>
      <c r="J81" s="24"/>
      <c r="K81" s="24"/>
      <c r="L81" s="24"/>
      <c r="M81" s="24"/>
      <c r="N81" s="24"/>
      <c r="O81" s="24"/>
      <c r="P81" s="24"/>
      <c r="Q81" s="24"/>
      <c r="R81" s="24"/>
      <c r="S81" s="24"/>
      <c r="T81" s="24"/>
      <c r="U81" s="24"/>
      <c r="V81" s="24"/>
      <c r="W81" s="24"/>
      <c r="X81" s="26"/>
      <c r="Y81" s="26"/>
      <c r="Z81" s="26"/>
      <c r="AA81" s="26"/>
      <c r="AB81" s="26"/>
      <c r="AC81" s="26"/>
      <c r="AD81" s="26"/>
      <c r="AE81" s="26"/>
      <c r="AF81" s="26"/>
      <c r="AG81" s="26"/>
      <c r="AH81" s="26"/>
      <c r="AI81" s="26"/>
    </row>
    <row r="82" spans="2:35" x14ac:dyDescent="0.35">
      <c r="B82" s="24"/>
      <c r="C82" s="24"/>
      <c r="D82" s="24"/>
      <c r="E82" s="24"/>
      <c r="F82" s="24"/>
      <c r="G82" s="24"/>
      <c r="H82" s="24"/>
      <c r="I82" s="24"/>
      <c r="J82" s="24"/>
      <c r="K82" s="24"/>
      <c r="L82" s="24"/>
      <c r="M82" s="24"/>
      <c r="N82" s="24"/>
      <c r="O82" s="24"/>
      <c r="P82" s="24"/>
      <c r="Q82" s="24"/>
      <c r="R82" s="24"/>
      <c r="S82" s="24"/>
      <c r="T82" s="24"/>
      <c r="U82" s="24"/>
      <c r="V82" s="24"/>
      <c r="W82" s="24"/>
      <c r="X82" s="26"/>
      <c r="Y82" s="26"/>
      <c r="Z82" s="26"/>
      <c r="AA82" s="26"/>
      <c r="AB82" s="26"/>
      <c r="AC82" s="26"/>
      <c r="AD82" s="26"/>
      <c r="AE82" s="26"/>
      <c r="AF82" s="26"/>
      <c r="AG82" s="26"/>
      <c r="AH82" s="26"/>
      <c r="AI82" s="26"/>
    </row>
    <row r="83" spans="2:35" x14ac:dyDescent="0.35">
      <c r="B83" s="24"/>
      <c r="C83" s="24"/>
      <c r="D83" s="24"/>
      <c r="E83" s="24"/>
      <c r="F83" s="24"/>
      <c r="G83" s="24"/>
      <c r="H83" s="24"/>
      <c r="I83" s="24"/>
      <c r="J83" s="24"/>
      <c r="K83" s="24"/>
      <c r="L83" s="24"/>
      <c r="M83" s="24"/>
      <c r="N83" s="24"/>
      <c r="O83" s="24"/>
      <c r="P83" s="24"/>
      <c r="Q83" s="24"/>
      <c r="R83" s="24"/>
      <c r="S83" s="24"/>
      <c r="T83" s="24"/>
      <c r="U83" s="24"/>
      <c r="V83" s="24"/>
      <c r="W83" s="24"/>
      <c r="X83" s="26"/>
      <c r="Y83" s="26"/>
      <c r="Z83" s="26"/>
      <c r="AA83" s="26"/>
      <c r="AB83" s="26"/>
      <c r="AC83" s="26"/>
      <c r="AD83" s="26"/>
      <c r="AE83" s="26"/>
      <c r="AF83" s="26"/>
      <c r="AG83" s="26"/>
      <c r="AH83" s="26"/>
      <c r="AI83" s="26"/>
    </row>
    <row r="84" spans="2:35" x14ac:dyDescent="0.35">
      <c r="B84" s="24"/>
      <c r="C84" s="24"/>
      <c r="D84" s="24"/>
      <c r="E84" s="24"/>
      <c r="F84" s="24"/>
      <c r="G84" s="24"/>
      <c r="H84" s="24"/>
      <c r="I84" s="24"/>
      <c r="J84" s="24"/>
      <c r="K84" s="24"/>
      <c r="L84" s="24"/>
      <c r="M84" s="24"/>
      <c r="N84" s="24"/>
      <c r="O84" s="24"/>
      <c r="P84" s="24"/>
      <c r="Q84" s="24"/>
      <c r="R84" s="24"/>
      <c r="S84" s="24"/>
      <c r="T84" s="24"/>
      <c r="U84" s="24"/>
      <c r="V84" s="24"/>
      <c r="W84" s="24"/>
      <c r="X84" s="26"/>
      <c r="Y84" s="26"/>
      <c r="Z84" s="26"/>
      <c r="AA84" s="26"/>
      <c r="AB84" s="26"/>
      <c r="AC84" s="26"/>
      <c r="AD84" s="26"/>
      <c r="AE84" s="26"/>
      <c r="AF84" s="26"/>
      <c r="AG84" s="26"/>
      <c r="AH84" s="26"/>
      <c r="AI84" s="26"/>
    </row>
    <row r="85" spans="2:35" x14ac:dyDescent="0.35">
      <c r="B85" s="24"/>
      <c r="C85" s="24"/>
      <c r="D85" s="24"/>
      <c r="E85" s="24"/>
      <c r="F85" s="24"/>
      <c r="G85" s="24"/>
      <c r="H85" s="24"/>
      <c r="I85" s="24"/>
      <c r="J85" s="24"/>
      <c r="K85" s="24"/>
      <c r="L85" s="24"/>
      <c r="M85" s="24"/>
      <c r="N85" s="24"/>
      <c r="O85" s="24"/>
      <c r="P85" s="24"/>
      <c r="Q85" s="24"/>
      <c r="R85" s="24"/>
      <c r="S85" s="24"/>
      <c r="T85" s="24"/>
      <c r="U85" s="24"/>
      <c r="V85" s="24"/>
      <c r="W85" s="24"/>
      <c r="X85" s="26"/>
      <c r="Y85" s="26"/>
      <c r="Z85" s="26"/>
      <c r="AA85" s="26"/>
      <c r="AB85" s="26"/>
      <c r="AC85" s="26"/>
      <c r="AD85" s="26"/>
      <c r="AE85" s="26"/>
      <c r="AF85" s="26"/>
      <c r="AG85" s="26"/>
      <c r="AH85" s="26"/>
      <c r="AI85" s="26"/>
    </row>
    <row r="86" spans="2:35" x14ac:dyDescent="0.35">
      <c r="B86" s="24"/>
      <c r="C86" s="24"/>
      <c r="D86" s="24"/>
      <c r="E86" s="24"/>
      <c r="F86" s="24"/>
      <c r="G86" s="24"/>
      <c r="H86" s="24"/>
      <c r="I86" s="24"/>
      <c r="J86" s="24"/>
      <c r="K86" s="24"/>
      <c r="L86" s="24"/>
      <c r="M86" s="24"/>
      <c r="N86" s="24"/>
      <c r="O86" s="24"/>
      <c r="P86" s="24"/>
      <c r="Q86" s="24"/>
      <c r="R86" s="24"/>
      <c r="S86" s="24"/>
      <c r="T86" s="24"/>
      <c r="U86" s="24"/>
      <c r="V86" s="24"/>
      <c r="W86" s="24"/>
      <c r="X86" s="26"/>
      <c r="Y86" s="26"/>
      <c r="Z86" s="26"/>
      <c r="AA86" s="26"/>
      <c r="AB86" s="26"/>
      <c r="AC86" s="26"/>
      <c r="AD86" s="26"/>
      <c r="AE86" s="26"/>
      <c r="AF86" s="26"/>
      <c r="AG86" s="26"/>
      <c r="AH86" s="26"/>
      <c r="AI86" s="26"/>
    </row>
    <row r="87" spans="2:35" x14ac:dyDescent="0.35">
      <c r="B87" s="24"/>
      <c r="C87" s="24"/>
      <c r="D87" s="24"/>
      <c r="E87" s="24"/>
      <c r="F87" s="24"/>
      <c r="G87" s="24"/>
      <c r="H87" s="24"/>
      <c r="I87" s="24"/>
      <c r="J87" s="24"/>
      <c r="K87" s="24"/>
      <c r="L87" s="24"/>
      <c r="M87" s="24"/>
      <c r="N87" s="24"/>
      <c r="O87" s="24"/>
      <c r="P87" s="24"/>
      <c r="Q87" s="24"/>
      <c r="R87" s="24"/>
      <c r="S87" s="24"/>
      <c r="T87" s="24"/>
      <c r="U87" s="24"/>
      <c r="V87" s="24"/>
      <c r="W87" s="24"/>
      <c r="X87" s="26"/>
      <c r="Y87" s="26"/>
      <c r="Z87" s="26"/>
      <c r="AA87" s="26"/>
      <c r="AB87" s="26"/>
      <c r="AC87" s="26"/>
      <c r="AD87" s="26"/>
      <c r="AE87" s="26"/>
      <c r="AF87" s="26"/>
      <c r="AG87" s="26"/>
      <c r="AH87" s="26"/>
      <c r="AI87" s="26"/>
    </row>
    <row r="88" spans="2:35" x14ac:dyDescent="0.35">
      <c r="B88" s="24"/>
      <c r="C88" s="24"/>
      <c r="D88" s="24"/>
      <c r="E88" s="24"/>
      <c r="F88" s="24"/>
      <c r="G88" s="24"/>
      <c r="H88" s="24"/>
      <c r="I88" s="24"/>
      <c r="J88" s="24"/>
      <c r="K88" s="24"/>
      <c r="L88" s="24"/>
      <c r="M88" s="24"/>
      <c r="N88" s="24"/>
      <c r="O88" s="24"/>
      <c r="P88" s="24"/>
      <c r="Q88" s="24"/>
      <c r="R88" s="24"/>
      <c r="S88" s="24"/>
      <c r="T88" s="24"/>
      <c r="U88" s="24"/>
      <c r="V88" s="24"/>
      <c r="W88" s="24"/>
      <c r="X88" s="26"/>
      <c r="Y88" s="26"/>
      <c r="Z88" s="26"/>
      <c r="AA88" s="26"/>
      <c r="AB88" s="26"/>
      <c r="AC88" s="26"/>
      <c r="AD88" s="26"/>
      <c r="AE88" s="26"/>
      <c r="AF88" s="26"/>
      <c r="AG88" s="26"/>
      <c r="AH88" s="26"/>
      <c r="AI88" s="26"/>
    </row>
    <row r="89" spans="2:35" x14ac:dyDescent="0.35">
      <c r="B89" s="24"/>
      <c r="C89" s="24"/>
      <c r="D89" s="24"/>
      <c r="E89" s="24"/>
      <c r="F89" s="24"/>
      <c r="G89" s="24"/>
      <c r="H89" s="24"/>
      <c r="I89" s="24"/>
      <c r="J89" s="24"/>
      <c r="K89" s="24"/>
      <c r="L89" s="24"/>
      <c r="M89" s="24"/>
      <c r="N89" s="24"/>
      <c r="O89" s="24"/>
      <c r="P89" s="24"/>
      <c r="Q89" s="24"/>
      <c r="R89" s="24"/>
      <c r="S89" s="24"/>
      <c r="T89" s="24"/>
      <c r="U89" s="24"/>
      <c r="V89" s="24"/>
      <c r="W89" s="24"/>
      <c r="X89" s="26"/>
      <c r="Y89" s="26"/>
      <c r="Z89" s="26"/>
      <c r="AA89" s="26"/>
      <c r="AB89" s="26"/>
      <c r="AC89" s="26"/>
      <c r="AD89" s="26"/>
      <c r="AE89" s="26"/>
      <c r="AF89" s="26"/>
      <c r="AG89" s="26"/>
      <c r="AH89" s="26"/>
      <c r="AI89" s="26"/>
    </row>
    <row r="90" spans="2:35" x14ac:dyDescent="0.35">
      <c r="B90" s="24"/>
      <c r="C90" s="24"/>
      <c r="D90" s="24"/>
      <c r="E90" s="24"/>
      <c r="F90" s="24"/>
      <c r="G90" s="24"/>
      <c r="H90" s="24"/>
      <c r="I90" s="24"/>
      <c r="J90" s="24"/>
      <c r="K90" s="24"/>
      <c r="L90" s="24"/>
      <c r="M90" s="24"/>
      <c r="N90" s="24"/>
      <c r="O90" s="24"/>
      <c r="P90" s="24"/>
      <c r="Q90" s="24"/>
      <c r="R90" s="24"/>
      <c r="S90" s="24"/>
      <c r="T90" s="24"/>
      <c r="U90" s="24"/>
      <c r="V90" s="24"/>
      <c r="W90" s="24"/>
      <c r="X90" s="26"/>
      <c r="Y90" s="26"/>
      <c r="Z90" s="26"/>
      <c r="AA90" s="26"/>
      <c r="AB90" s="26"/>
      <c r="AC90" s="26"/>
      <c r="AD90" s="26"/>
      <c r="AE90" s="26"/>
      <c r="AF90" s="26"/>
      <c r="AG90" s="26"/>
      <c r="AH90" s="26"/>
      <c r="AI90" s="26"/>
    </row>
    <row r="91" spans="2:35" x14ac:dyDescent="0.35">
      <c r="B91" s="24"/>
      <c r="C91" s="24"/>
      <c r="D91" s="24"/>
      <c r="E91" s="24"/>
      <c r="F91" s="24"/>
      <c r="G91" s="24"/>
      <c r="H91" s="24"/>
      <c r="I91" s="24"/>
      <c r="J91" s="24"/>
      <c r="K91" s="24"/>
      <c r="L91" s="24"/>
      <c r="M91" s="24"/>
      <c r="N91" s="24"/>
      <c r="O91" s="24"/>
      <c r="P91" s="24"/>
      <c r="Q91" s="24"/>
      <c r="R91" s="24"/>
      <c r="S91" s="24"/>
      <c r="T91" s="24"/>
      <c r="U91" s="24"/>
      <c r="V91" s="24"/>
      <c r="W91" s="24"/>
      <c r="X91" s="26"/>
      <c r="Y91" s="26"/>
      <c r="Z91" s="26"/>
      <c r="AA91" s="26"/>
      <c r="AB91" s="26"/>
      <c r="AC91" s="26"/>
      <c r="AD91" s="26"/>
      <c r="AE91" s="26"/>
      <c r="AF91" s="26"/>
      <c r="AG91" s="26"/>
      <c r="AH91" s="26"/>
      <c r="AI91" s="26"/>
    </row>
    <row r="92" spans="2:35" x14ac:dyDescent="0.35">
      <c r="B92" s="24"/>
      <c r="C92" s="24"/>
      <c r="D92" s="24"/>
      <c r="E92" s="24"/>
      <c r="F92" s="24"/>
      <c r="G92" s="24"/>
      <c r="H92" s="24"/>
      <c r="I92" s="24"/>
      <c r="J92" s="24"/>
      <c r="K92" s="24"/>
      <c r="L92" s="24"/>
      <c r="M92" s="24"/>
      <c r="N92" s="24"/>
      <c r="O92" s="24"/>
      <c r="P92" s="24"/>
      <c r="Q92" s="24"/>
      <c r="R92" s="24"/>
      <c r="S92" s="24"/>
      <c r="T92" s="24"/>
      <c r="U92" s="24"/>
      <c r="V92" s="24"/>
      <c r="W92" s="24"/>
      <c r="X92" s="26"/>
      <c r="Y92" s="26"/>
      <c r="Z92" s="26"/>
      <c r="AA92" s="26"/>
      <c r="AB92" s="26"/>
      <c r="AC92" s="26"/>
      <c r="AD92" s="26"/>
      <c r="AE92" s="26"/>
      <c r="AF92" s="26"/>
      <c r="AG92" s="26"/>
      <c r="AH92" s="26"/>
      <c r="AI92" s="26"/>
    </row>
    <row r="93" spans="2:35" x14ac:dyDescent="0.35">
      <c r="B93" s="24"/>
      <c r="C93" s="24"/>
      <c r="D93" s="24"/>
      <c r="E93" s="24"/>
      <c r="F93" s="24"/>
      <c r="G93" s="24"/>
      <c r="H93" s="24"/>
      <c r="I93" s="24"/>
      <c r="J93" s="24"/>
      <c r="K93" s="24"/>
      <c r="L93" s="24"/>
      <c r="M93" s="24"/>
      <c r="N93" s="24"/>
      <c r="O93" s="24"/>
      <c r="P93" s="24"/>
      <c r="Q93" s="24"/>
      <c r="R93" s="24"/>
      <c r="S93" s="24"/>
      <c r="T93" s="24"/>
      <c r="U93" s="24"/>
      <c r="V93" s="24"/>
      <c r="W93" s="24"/>
      <c r="X93" s="26"/>
      <c r="Y93" s="26"/>
      <c r="Z93" s="26"/>
      <c r="AA93" s="26"/>
      <c r="AB93" s="26"/>
      <c r="AC93" s="26"/>
      <c r="AD93" s="26"/>
      <c r="AE93" s="26"/>
      <c r="AF93" s="26"/>
      <c r="AG93" s="26"/>
      <c r="AH93" s="26"/>
      <c r="AI93" s="26"/>
    </row>
    <row r="94" spans="2:35" x14ac:dyDescent="0.35">
      <c r="B94" s="24"/>
      <c r="C94" s="24"/>
      <c r="D94" s="24"/>
      <c r="E94" s="24"/>
      <c r="F94" s="24"/>
      <c r="G94" s="24"/>
      <c r="H94" s="24"/>
      <c r="I94" s="24"/>
      <c r="J94" s="24"/>
      <c r="K94" s="24"/>
      <c r="L94" s="24"/>
      <c r="M94" s="24"/>
      <c r="N94" s="24"/>
      <c r="O94" s="24"/>
      <c r="P94" s="24"/>
      <c r="Q94" s="24"/>
      <c r="R94" s="24"/>
      <c r="S94" s="24"/>
      <c r="T94" s="24"/>
      <c r="U94" s="24"/>
      <c r="V94" s="24"/>
      <c r="W94" s="24"/>
      <c r="X94" s="26"/>
      <c r="Y94" s="26"/>
      <c r="Z94" s="26"/>
      <c r="AA94" s="26"/>
      <c r="AB94" s="26"/>
      <c r="AC94" s="26"/>
      <c r="AD94" s="26"/>
      <c r="AE94" s="26"/>
      <c r="AF94" s="26"/>
      <c r="AG94" s="26"/>
      <c r="AH94" s="26"/>
      <c r="AI94" s="26"/>
    </row>
    <row r="95" spans="2:35" x14ac:dyDescent="0.35">
      <c r="B95" s="24"/>
      <c r="C95" s="24"/>
      <c r="D95" s="24"/>
      <c r="E95" s="24"/>
      <c r="F95" s="24"/>
      <c r="G95" s="24"/>
      <c r="H95" s="24"/>
      <c r="I95" s="24"/>
      <c r="J95" s="24"/>
      <c r="K95" s="24"/>
      <c r="L95" s="24"/>
      <c r="M95" s="24"/>
      <c r="N95" s="24"/>
      <c r="O95" s="24"/>
      <c r="P95" s="24"/>
      <c r="Q95" s="24"/>
      <c r="R95" s="24"/>
      <c r="S95" s="24"/>
      <c r="T95" s="24"/>
      <c r="U95" s="24"/>
      <c r="V95" s="24"/>
      <c r="W95" s="24"/>
      <c r="X95" s="26"/>
      <c r="Y95" s="26"/>
      <c r="Z95" s="26"/>
      <c r="AA95" s="26"/>
      <c r="AB95" s="26"/>
      <c r="AC95" s="26"/>
      <c r="AD95" s="26"/>
      <c r="AE95" s="26"/>
      <c r="AF95" s="26"/>
      <c r="AG95" s="26"/>
      <c r="AH95" s="26"/>
      <c r="AI95" s="26"/>
    </row>
    <row r="96" spans="2:35" x14ac:dyDescent="0.35">
      <c r="B96" s="24"/>
      <c r="C96" s="24"/>
      <c r="D96" s="24"/>
      <c r="E96" s="24"/>
      <c r="F96" s="24"/>
      <c r="G96" s="24"/>
      <c r="H96" s="24"/>
      <c r="I96" s="24"/>
      <c r="J96" s="24"/>
      <c r="K96" s="24"/>
      <c r="L96" s="24"/>
      <c r="M96" s="24"/>
      <c r="N96" s="24"/>
      <c r="O96" s="24"/>
      <c r="P96" s="24"/>
      <c r="Q96" s="24"/>
      <c r="R96" s="24"/>
      <c r="S96" s="24"/>
      <c r="T96" s="24"/>
      <c r="U96" s="24"/>
      <c r="V96" s="24"/>
      <c r="W96" s="24"/>
      <c r="X96" s="26"/>
      <c r="Y96" s="26"/>
      <c r="Z96" s="26"/>
      <c r="AA96" s="26"/>
      <c r="AB96" s="26"/>
      <c r="AC96" s="26"/>
      <c r="AD96" s="26"/>
      <c r="AE96" s="26"/>
      <c r="AF96" s="26"/>
      <c r="AG96" s="26"/>
      <c r="AH96" s="26"/>
      <c r="AI96" s="26"/>
    </row>
    <row r="97" spans="2:35" x14ac:dyDescent="0.35">
      <c r="B97" s="24"/>
      <c r="C97" s="24"/>
      <c r="D97" s="24"/>
      <c r="E97" s="24"/>
      <c r="F97" s="24"/>
      <c r="G97" s="24"/>
      <c r="H97" s="24"/>
      <c r="I97" s="24"/>
      <c r="J97" s="24"/>
      <c r="K97" s="24"/>
      <c r="L97" s="24"/>
      <c r="M97" s="24"/>
      <c r="N97" s="24"/>
      <c r="O97" s="24"/>
      <c r="P97" s="24"/>
      <c r="Q97" s="24"/>
      <c r="R97" s="24"/>
      <c r="S97" s="24"/>
      <c r="T97" s="24"/>
      <c r="U97" s="24"/>
      <c r="V97" s="24"/>
      <c r="W97" s="24"/>
      <c r="X97" s="26"/>
      <c r="Y97" s="26"/>
      <c r="Z97" s="26"/>
      <c r="AA97" s="26"/>
      <c r="AB97" s="26"/>
      <c r="AC97" s="26"/>
      <c r="AD97" s="26"/>
      <c r="AE97" s="26"/>
      <c r="AF97" s="26"/>
      <c r="AG97" s="26"/>
      <c r="AH97" s="26"/>
      <c r="AI97" s="26"/>
    </row>
    <row r="98" spans="2:35" x14ac:dyDescent="0.35">
      <c r="B98" s="24"/>
      <c r="C98" s="24"/>
      <c r="D98" s="24"/>
      <c r="E98" s="24"/>
      <c r="F98" s="24"/>
      <c r="G98" s="24"/>
      <c r="H98" s="24"/>
      <c r="I98" s="24"/>
      <c r="J98" s="24"/>
      <c r="K98" s="24"/>
      <c r="L98" s="24"/>
      <c r="M98" s="24"/>
      <c r="N98" s="24"/>
      <c r="O98" s="24"/>
      <c r="P98" s="24"/>
      <c r="Q98" s="24"/>
      <c r="R98" s="24"/>
      <c r="S98" s="24"/>
      <c r="T98" s="24"/>
      <c r="U98" s="24"/>
      <c r="V98" s="24"/>
      <c r="W98" s="24"/>
      <c r="X98" s="26"/>
      <c r="Y98" s="26"/>
      <c r="Z98" s="26"/>
      <c r="AA98" s="26"/>
      <c r="AB98" s="26"/>
      <c r="AC98" s="26"/>
      <c r="AD98" s="26"/>
      <c r="AE98" s="26"/>
      <c r="AF98" s="26"/>
      <c r="AG98" s="26"/>
      <c r="AH98" s="26"/>
      <c r="AI98" s="26"/>
    </row>
    <row r="99" spans="2:35" x14ac:dyDescent="0.35">
      <c r="B99" s="24"/>
      <c r="C99" s="24"/>
      <c r="D99" s="24"/>
      <c r="E99" s="24"/>
      <c r="F99" s="24"/>
      <c r="G99" s="24"/>
      <c r="H99" s="24"/>
      <c r="I99" s="24"/>
      <c r="J99" s="24"/>
      <c r="K99" s="24"/>
      <c r="L99" s="24"/>
      <c r="M99" s="24"/>
      <c r="N99" s="24"/>
      <c r="O99" s="24"/>
      <c r="P99" s="24"/>
      <c r="Q99" s="24"/>
      <c r="R99" s="24"/>
      <c r="S99" s="24"/>
      <c r="T99" s="24"/>
      <c r="U99" s="24"/>
      <c r="V99" s="24"/>
      <c r="W99" s="24"/>
      <c r="X99" s="26"/>
      <c r="Y99" s="26"/>
      <c r="Z99" s="26"/>
      <c r="AA99" s="26"/>
      <c r="AB99" s="26"/>
      <c r="AC99" s="26"/>
      <c r="AD99" s="26"/>
      <c r="AE99" s="26"/>
      <c r="AF99" s="26"/>
      <c r="AG99" s="26"/>
      <c r="AH99" s="26"/>
      <c r="AI99" s="26"/>
    </row>
    <row r="100" spans="2:35" x14ac:dyDescent="0.35">
      <c r="B100" s="24"/>
      <c r="C100" s="24"/>
      <c r="D100" s="24"/>
      <c r="E100" s="24"/>
      <c r="F100" s="24"/>
      <c r="G100" s="24"/>
      <c r="H100" s="24"/>
      <c r="I100" s="24"/>
      <c r="J100" s="24"/>
      <c r="K100" s="24"/>
      <c r="L100" s="24"/>
      <c r="M100" s="24"/>
      <c r="N100" s="24"/>
      <c r="O100" s="24"/>
      <c r="P100" s="24"/>
      <c r="Q100" s="24"/>
      <c r="R100" s="24"/>
      <c r="S100" s="24"/>
      <c r="T100" s="24"/>
      <c r="U100" s="24"/>
      <c r="V100" s="24"/>
      <c r="W100" s="24"/>
      <c r="X100" s="26"/>
      <c r="Y100" s="26"/>
      <c r="Z100" s="26"/>
      <c r="AA100" s="26"/>
      <c r="AB100" s="26"/>
      <c r="AC100" s="26"/>
      <c r="AD100" s="26"/>
      <c r="AE100" s="26"/>
      <c r="AF100" s="26"/>
      <c r="AG100" s="26"/>
      <c r="AH100" s="26"/>
      <c r="AI100" s="26"/>
    </row>
    <row r="101" spans="2:35" x14ac:dyDescent="0.35">
      <c r="B101" s="24"/>
      <c r="C101" s="24"/>
      <c r="D101" s="24"/>
      <c r="E101" s="24"/>
      <c r="F101" s="24"/>
      <c r="G101" s="24"/>
      <c r="H101" s="24"/>
      <c r="I101" s="24"/>
      <c r="J101" s="24"/>
      <c r="K101" s="24"/>
      <c r="L101" s="24"/>
      <c r="M101" s="24"/>
      <c r="N101" s="24"/>
      <c r="O101" s="24"/>
      <c r="P101" s="24"/>
      <c r="Q101" s="24"/>
      <c r="R101" s="24"/>
      <c r="S101" s="24"/>
      <c r="T101" s="24"/>
      <c r="U101" s="24"/>
      <c r="V101" s="24"/>
      <c r="W101" s="24"/>
      <c r="X101" s="26"/>
      <c r="Y101" s="26"/>
      <c r="Z101" s="26"/>
      <c r="AA101" s="26"/>
      <c r="AB101" s="26"/>
      <c r="AC101" s="26"/>
      <c r="AD101" s="26"/>
      <c r="AE101" s="26"/>
      <c r="AF101" s="26"/>
      <c r="AG101" s="26"/>
      <c r="AH101" s="26"/>
      <c r="AI101" s="26"/>
    </row>
    <row r="102" spans="2:35" x14ac:dyDescent="0.35">
      <c r="B102" s="24"/>
      <c r="C102" s="24"/>
      <c r="D102" s="24"/>
      <c r="E102" s="24"/>
      <c r="F102" s="24"/>
      <c r="G102" s="24"/>
      <c r="H102" s="24"/>
      <c r="I102" s="24"/>
      <c r="J102" s="24"/>
      <c r="K102" s="24"/>
      <c r="L102" s="24"/>
      <c r="M102" s="24"/>
      <c r="N102" s="24"/>
      <c r="O102" s="24"/>
      <c r="P102" s="24"/>
      <c r="Q102" s="24"/>
      <c r="R102" s="24"/>
      <c r="S102" s="24"/>
      <c r="T102" s="24"/>
      <c r="U102" s="24"/>
      <c r="V102" s="24"/>
      <c r="W102" s="24"/>
      <c r="X102" s="26"/>
      <c r="Y102" s="26"/>
      <c r="Z102" s="26"/>
      <c r="AA102" s="26"/>
      <c r="AB102" s="26"/>
      <c r="AC102" s="26"/>
      <c r="AD102" s="26"/>
      <c r="AE102" s="26"/>
      <c r="AF102" s="26"/>
      <c r="AG102" s="26"/>
      <c r="AH102" s="26"/>
      <c r="AI102" s="26"/>
    </row>
    <row r="103" spans="2:35" x14ac:dyDescent="0.35">
      <c r="B103" s="24"/>
      <c r="C103" s="24"/>
      <c r="D103" s="24"/>
      <c r="E103" s="24"/>
      <c r="F103" s="24"/>
      <c r="G103" s="24"/>
      <c r="H103" s="24"/>
      <c r="I103" s="24"/>
      <c r="J103" s="24"/>
      <c r="K103" s="24"/>
      <c r="L103" s="24"/>
      <c r="M103" s="24"/>
      <c r="N103" s="24"/>
      <c r="O103" s="24"/>
      <c r="P103" s="24"/>
      <c r="Q103" s="24"/>
      <c r="R103" s="24"/>
      <c r="S103" s="24"/>
      <c r="T103" s="24"/>
      <c r="U103" s="24"/>
      <c r="V103" s="24"/>
      <c r="W103" s="24"/>
      <c r="X103" s="26"/>
      <c r="Y103" s="26"/>
      <c r="Z103" s="26"/>
      <c r="AA103" s="26"/>
      <c r="AB103" s="26"/>
      <c r="AC103" s="26"/>
      <c r="AD103" s="26"/>
      <c r="AE103" s="26"/>
      <c r="AF103" s="26"/>
      <c r="AG103" s="26"/>
      <c r="AH103" s="26"/>
      <c r="AI103" s="26"/>
    </row>
    <row r="104" spans="2:35" x14ac:dyDescent="0.35">
      <c r="B104" s="24"/>
      <c r="C104" s="24"/>
      <c r="D104" s="24"/>
      <c r="E104" s="24"/>
      <c r="F104" s="24"/>
      <c r="G104" s="24"/>
      <c r="H104" s="24"/>
      <c r="I104" s="24"/>
      <c r="J104" s="24"/>
      <c r="K104" s="24"/>
      <c r="L104" s="24"/>
      <c r="M104" s="24"/>
      <c r="N104" s="24"/>
      <c r="O104" s="24"/>
      <c r="P104" s="24"/>
      <c r="Q104" s="24"/>
      <c r="R104" s="24"/>
      <c r="S104" s="24"/>
      <c r="T104" s="24"/>
      <c r="U104" s="24"/>
      <c r="V104" s="24"/>
      <c r="W104" s="24"/>
      <c r="X104" s="26"/>
      <c r="Y104" s="26"/>
      <c r="Z104" s="26"/>
      <c r="AA104" s="26"/>
      <c r="AB104" s="26"/>
      <c r="AC104" s="26"/>
      <c r="AD104" s="26"/>
      <c r="AE104" s="26"/>
      <c r="AF104" s="26"/>
      <c r="AG104" s="26"/>
      <c r="AH104" s="26"/>
      <c r="AI104" s="26"/>
    </row>
    <row r="105" spans="2:35" x14ac:dyDescent="0.35">
      <c r="B105" s="24"/>
      <c r="C105" s="24"/>
      <c r="D105" s="24"/>
      <c r="E105" s="24"/>
      <c r="F105" s="24"/>
      <c r="G105" s="24"/>
      <c r="H105" s="24"/>
      <c r="I105" s="24"/>
      <c r="J105" s="24"/>
      <c r="K105" s="24"/>
      <c r="L105" s="24"/>
      <c r="M105" s="24"/>
      <c r="N105" s="24"/>
      <c r="O105" s="24"/>
      <c r="P105" s="24"/>
      <c r="Q105" s="24"/>
      <c r="R105" s="24"/>
      <c r="S105" s="24"/>
      <c r="T105" s="24"/>
      <c r="U105" s="24"/>
      <c r="V105" s="24"/>
      <c r="W105" s="24"/>
      <c r="X105" s="26"/>
      <c r="Y105" s="26"/>
      <c r="Z105" s="26"/>
      <c r="AA105" s="26"/>
      <c r="AB105" s="26"/>
      <c r="AC105" s="26"/>
      <c r="AD105" s="26"/>
      <c r="AE105" s="26"/>
      <c r="AF105" s="26"/>
      <c r="AG105" s="26"/>
      <c r="AH105" s="26"/>
      <c r="AI105" s="26"/>
    </row>
    <row r="106" spans="2:35" x14ac:dyDescent="0.35">
      <c r="B106" s="24"/>
      <c r="C106" s="24"/>
      <c r="D106" s="24"/>
      <c r="E106" s="24"/>
      <c r="F106" s="24"/>
      <c r="G106" s="24"/>
      <c r="H106" s="24"/>
      <c r="I106" s="24"/>
      <c r="J106" s="24"/>
      <c r="K106" s="24"/>
      <c r="L106" s="24"/>
      <c r="M106" s="24"/>
      <c r="N106" s="24"/>
      <c r="O106" s="24"/>
      <c r="P106" s="24"/>
      <c r="Q106" s="24"/>
      <c r="R106" s="24"/>
      <c r="S106" s="24"/>
      <c r="T106" s="24"/>
      <c r="U106" s="24"/>
      <c r="V106" s="24"/>
      <c r="W106" s="24"/>
      <c r="X106" s="26"/>
      <c r="Y106" s="26"/>
      <c r="Z106" s="26"/>
      <c r="AA106" s="26"/>
      <c r="AB106" s="26"/>
      <c r="AC106" s="26"/>
      <c r="AD106" s="26"/>
      <c r="AE106" s="26"/>
      <c r="AF106" s="26"/>
      <c r="AG106" s="26"/>
      <c r="AH106" s="26"/>
      <c r="AI106" s="26"/>
    </row>
    <row r="107" spans="2:35" x14ac:dyDescent="0.35">
      <c r="B107" s="24"/>
      <c r="C107" s="24"/>
      <c r="D107" s="24"/>
      <c r="E107" s="24"/>
      <c r="F107" s="24"/>
      <c r="G107" s="24"/>
      <c r="H107" s="24"/>
      <c r="I107" s="24"/>
      <c r="J107" s="24"/>
      <c r="K107" s="24"/>
      <c r="L107" s="24"/>
      <c r="M107" s="24"/>
      <c r="N107" s="24"/>
      <c r="O107" s="24"/>
      <c r="P107" s="24"/>
      <c r="Q107" s="24"/>
      <c r="R107" s="24"/>
      <c r="S107" s="24"/>
      <c r="T107" s="24"/>
      <c r="U107" s="24"/>
      <c r="V107" s="24"/>
      <c r="W107" s="24"/>
      <c r="X107" s="26"/>
      <c r="Y107" s="26"/>
      <c r="Z107" s="26"/>
      <c r="AA107" s="26"/>
      <c r="AB107" s="26"/>
      <c r="AC107" s="26"/>
      <c r="AD107" s="26"/>
      <c r="AE107" s="26"/>
      <c r="AF107" s="26"/>
      <c r="AG107" s="26"/>
      <c r="AH107" s="26"/>
      <c r="AI107" s="26"/>
    </row>
    <row r="108" spans="2:35" x14ac:dyDescent="0.35">
      <c r="B108" s="24"/>
      <c r="C108" s="24"/>
      <c r="D108" s="24"/>
      <c r="E108" s="24"/>
      <c r="F108" s="24"/>
      <c r="G108" s="24"/>
      <c r="H108" s="24"/>
      <c r="I108" s="24"/>
      <c r="J108" s="24"/>
      <c r="K108" s="24"/>
      <c r="L108" s="24"/>
      <c r="M108" s="24"/>
      <c r="N108" s="24"/>
      <c r="O108" s="24"/>
      <c r="P108" s="24"/>
      <c r="Q108" s="24"/>
      <c r="R108" s="24"/>
      <c r="S108" s="24"/>
      <c r="T108" s="24"/>
      <c r="U108" s="24"/>
      <c r="V108" s="24"/>
      <c r="W108" s="24"/>
      <c r="X108" s="26"/>
      <c r="Y108" s="26"/>
      <c r="Z108" s="26"/>
      <c r="AA108" s="26"/>
      <c r="AB108" s="26"/>
      <c r="AC108" s="26"/>
      <c r="AD108" s="26"/>
      <c r="AE108" s="26"/>
      <c r="AF108" s="26"/>
      <c r="AG108" s="26"/>
      <c r="AH108" s="26"/>
      <c r="AI108" s="26"/>
    </row>
    <row r="109" spans="2:35" x14ac:dyDescent="0.35">
      <c r="B109" s="24"/>
      <c r="C109" s="24"/>
      <c r="D109" s="24"/>
      <c r="E109" s="24"/>
      <c r="F109" s="24"/>
      <c r="G109" s="24"/>
      <c r="H109" s="24"/>
      <c r="I109" s="24"/>
      <c r="J109" s="24"/>
      <c r="K109" s="24"/>
      <c r="L109" s="24"/>
      <c r="M109" s="24"/>
      <c r="N109" s="24"/>
      <c r="O109" s="24"/>
      <c r="P109" s="24"/>
      <c r="Q109" s="24"/>
      <c r="R109" s="24"/>
      <c r="S109" s="24"/>
      <c r="T109" s="24"/>
      <c r="U109" s="24"/>
      <c r="V109" s="24"/>
      <c r="W109" s="24"/>
      <c r="X109" s="26"/>
      <c r="Y109" s="26"/>
      <c r="Z109" s="26"/>
      <c r="AA109" s="26"/>
      <c r="AB109" s="26"/>
      <c r="AC109" s="26"/>
      <c r="AD109" s="26"/>
      <c r="AE109" s="26"/>
      <c r="AF109" s="26"/>
      <c r="AG109" s="26"/>
      <c r="AH109" s="26"/>
      <c r="AI109" s="26"/>
    </row>
    <row r="110" spans="2:35" x14ac:dyDescent="0.35">
      <c r="B110" s="24"/>
      <c r="C110" s="24"/>
      <c r="D110" s="24"/>
      <c r="E110" s="24"/>
      <c r="F110" s="24"/>
      <c r="G110" s="24"/>
      <c r="H110" s="24"/>
      <c r="I110" s="24"/>
      <c r="J110" s="24"/>
      <c r="K110" s="24"/>
      <c r="L110" s="24"/>
      <c r="M110" s="24"/>
      <c r="N110" s="24"/>
      <c r="O110" s="24"/>
      <c r="P110" s="24"/>
      <c r="Q110" s="24"/>
      <c r="R110" s="24"/>
      <c r="S110" s="24"/>
      <c r="T110" s="24"/>
      <c r="U110" s="24"/>
      <c r="V110" s="24"/>
      <c r="W110" s="24"/>
      <c r="X110" s="26"/>
      <c r="Y110" s="26"/>
      <c r="Z110" s="26"/>
      <c r="AA110" s="26"/>
      <c r="AB110" s="26"/>
      <c r="AC110" s="26"/>
      <c r="AD110" s="26"/>
      <c r="AE110" s="26"/>
      <c r="AF110" s="26"/>
      <c r="AG110" s="26"/>
      <c r="AH110" s="26"/>
      <c r="AI110" s="26"/>
    </row>
    <row r="111" spans="2:35" x14ac:dyDescent="0.35">
      <c r="B111" s="24"/>
      <c r="C111" s="24"/>
      <c r="D111" s="24"/>
      <c r="E111" s="24"/>
      <c r="F111" s="24"/>
      <c r="G111" s="24"/>
      <c r="H111" s="24"/>
      <c r="I111" s="24"/>
      <c r="J111" s="24"/>
      <c r="K111" s="24"/>
      <c r="L111" s="24"/>
      <c r="M111" s="24"/>
      <c r="N111" s="24"/>
      <c r="O111" s="24"/>
      <c r="P111" s="24"/>
      <c r="Q111" s="24"/>
      <c r="R111" s="24"/>
      <c r="S111" s="24"/>
      <c r="T111" s="24"/>
      <c r="U111" s="24"/>
      <c r="V111" s="24"/>
      <c r="W111" s="24"/>
      <c r="X111" s="26"/>
      <c r="Y111" s="26"/>
      <c r="Z111" s="26"/>
      <c r="AA111" s="26"/>
      <c r="AB111" s="26"/>
      <c r="AC111" s="26"/>
      <c r="AD111" s="26"/>
      <c r="AE111" s="26"/>
      <c r="AF111" s="26"/>
      <c r="AG111" s="26"/>
      <c r="AH111" s="26"/>
      <c r="AI111" s="26"/>
    </row>
    <row r="112" spans="2:35" x14ac:dyDescent="0.35">
      <c r="B112" s="24"/>
      <c r="C112" s="24"/>
      <c r="D112" s="24"/>
      <c r="E112" s="24"/>
      <c r="F112" s="24"/>
      <c r="G112" s="24"/>
      <c r="H112" s="24"/>
      <c r="I112" s="24"/>
      <c r="J112" s="24"/>
      <c r="K112" s="24"/>
      <c r="L112" s="24"/>
      <c r="M112" s="24"/>
      <c r="N112" s="24"/>
      <c r="O112" s="24"/>
      <c r="P112" s="24"/>
      <c r="Q112" s="24"/>
      <c r="R112" s="24"/>
      <c r="S112" s="24"/>
      <c r="T112" s="24"/>
      <c r="U112" s="24"/>
      <c r="V112" s="24"/>
      <c r="W112" s="24"/>
      <c r="X112" s="26"/>
      <c r="Y112" s="26"/>
      <c r="Z112" s="26"/>
      <c r="AA112" s="26"/>
      <c r="AB112" s="26"/>
      <c r="AC112" s="26"/>
      <c r="AD112" s="26"/>
      <c r="AE112" s="26"/>
      <c r="AF112" s="26"/>
      <c r="AG112" s="26"/>
      <c r="AH112" s="26"/>
      <c r="AI112" s="26"/>
    </row>
    <row r="113" spans="2:35" x14ac:dyDescent="0.35">
      <c r="B113" s="24"/>
      <c r="C113" s="24"/>
      <c r="D113" s="24"/>
      <c r="E113" s="24"/>
      <c r="F113" s="24"/>
      <c r="G113" s="24"/>
      <c r="H113" s="24"/>
      <c r="I113" s="24"/>
      <c r="J113" s="24"/>
      <c r="K113" s="24"/>
      <c r="L113" s="24"/>
      <c r="M113" s="24"/>
      <c r="N113" s="24"/>
      <c r="O113" s="24"/>
      <c r="P113" s="24"/>
      <c r="Q113" s="24"/>
      <c r="R113" s="24"/>
      <c r="S113" s="24"/>
      <c r="T113" s="24"/>
      <c r="U113" s="24"/>
      <c r="V113" s="24"/>
      <c r="W113" s="24"/>
      <c r="X113" s="26"/>
      <c r="Y113" s="26"/>
      <c r="Z113" s="26"/>
      <c r="AA113" s="26"/>
      <c r="AB113" s="26"/>
      <c r="AC113" s="26"/>
      <c r="AD113" s="26"/>
      <c r="AE113" s="26"/>
      <c r="AF113" s="26"/>
      <c r="AG113" s="26"/>
      <c r="AH113" s="26"/>
      <c r="AI113" s="26"/>
    </row>
    <row r="114" spans="2:35" x14ac:dyDescent="0.35">
      <c r="B114" s="24"/>
      <c r="C114" s="24"/>
      <c r="D114" s="24"/>
      <c r="E114" s="24"/>
      <c r="F114" s="24"/>
      <c r="G114" s="24"/>
      <c r="H114" s="24"/>
      <c r="I114" s="24"/>
      <c r="J114" s="24"/>
      <c r="K114" s="24"/>
      <c r="L114" s="24"/>
      <c r="M114" s="24"/>
      <c r="N114" s="24"/>
      <c r="O114" s="24"/>
      <c r="P114" s="24"/>
      <c r="Q114" s="24"/>
      <c r="R114" s="24"/>
      <c r="S114" s="24"/>
      <c r="T114" s="24"/>
      <c r="U114" s="24"/>
      <c r="V114" s="24"/>
      <c r="W114" s="24"/>
      <c r="X114" s="26"/>
      <c r="Y114" s="26"/>
      <c r="Z114" s="26"/>
      <c r="AA114" s="26"/>
      <c r="AB114" s="26"/>
      <c r="AC114" s="26"/>
      <c r="AD114" s="26"/>
      <c r="AE114" s="26"/>
      <c r="AF114" s="26"/>
      <c r="AG114" s="26"/>
      <c r="AH114" s="26"/>
      <c r="AI114" s="26"/>
    </row>
    <row r="115" spans="2:35" x14ac:dyDescent="0.35">
      <c r="B115" s="24"/>
      <c r="C115" s="24"/>
      <c r="D115" s="24"/>
      <c r="E115" s="24"/>
      <c r="F115" s="24"/>
      <c r="G115" s="24"/>
      <c r="H115" s="24"/>
      <c r="I115" s="24"/>
      <c r="J115" s="24"/>
      <c r="K115" s="24"/>
      <c r="L115" s="24"/>
      <c r="M115" s="24"/>
      <c r="N115" s="24"/>
      <c r="O115" s="24"/>
      <c r="P115" s="24"/>
      <c r="Q115" s="24"/>
      <c r="R115" s="24"/>
      <c r="S115" s="24"/>
      <c r="T115" s="24"/>
      <c r="U115" s="24"/>
      <c r="V115" s="24"/>
      <c r="W115" s="24"/>
      <c r="X115" s="26"/>
      <c r="Y115" s="26"/>
      <c r="Z115" s="26"/>
      <c r="AA115" s="26"/>
      <c r="AB115" s="26"/>
      <c r="AC115" s="26"/>
      <c r="AD115" s="26"/>
      <c r="AE115" s="26"/>
      <c r="AF115" s="26"/>
      <c r="AG115" s="26"/>
      <c r="AH115" s="26"/>
      <c r="AI115" s="26"/>
    </row>
    <row r="116" spans="2:35" x14ac:dyDescent="0.35">
      <c r="B116" s="24"/>
      <c r="C116" s="24"/>
      <c r="D116" s="24"/>
      <c r="E116" s="24"/>
      <c r="F116" s="24"/>
      <c r="G116" s="24"/>
      <c r="H116" s="24"/>
      <c r="I116" s="24"/>
      <c r="J116" s="24"/>
      <c r="K116" s="24"/>
      <c r="L116" s="24"/>
      <c r="M116" s="24"/>
      <c r="N116" s="24"/>
      <c r="O116" s="24"/>
      <c r="P116" s="24"/>
      <c r="Q116" s="24"/>
      <c r="R116" s="24"/>
      <c r="S116" s="24"/>
      <c r="T116" s="24"/>
      <c r="U116" s="24"/>
      <c r="V116" s="24"/>
      <c r="W116" s="24"/>
      <c r="X116" s="26"/>
      <c r="Y116" s="26"/>
      <c r="Z116" s="26"/>
      <c r="AA116" s="26"/>
      <c r="AB116" s="26"/>
      <c r="AC116" s="26"/>
      <c r="AD116" s="26"/>
      <c r="AE116" s="26"/>
      <c r="AF116" s="26"/>
      <c r="AG116" s="26"/>
      <c r="AH116" s="26"/>
      <c r="AI116" s="26"/>
    </row>
    <row r="117" spans="2:35" x14ac:dyDescent="0.35">
      <c r="B117" s="24"/>
      <c r="C117" s="24"/>
      <c r="D117" s="24"/>
      <c r="E117" s="24"/>
      <c r="F117" s="24"/>
      <c r="G117" s="24"/>
      <c r="H117" s="24"/>
      <c r="I117" s="24"/>
      <c r="J117" s="24"/>
      <c r="K117" s="24"/>
      <c r="L117" s="24"/>
      <c r="M117" s="24"/>
      <c r="N117" s="24"/>
      <c r="O117" s="24"/>
      <c r="P117" s="24"/>
      <c r="Q117" s="24"/>
      <c r="R117" s="24"/>
      <c r="S117" s="24"/>
      <c r="T117" s="24"/>
      <c r="U117" s="24"/>
      <c r="V117" s="24"/>
      <c r="W117" s="24"/>
      <c r="X117" s="26"/>
      <c r="Y117" s="26"/>
      <c r="Z117" s="26"/>
      <c r="AA117" s="26"/>
      <c r="AB117" s="26"/>
      <c r="AC117" s="26"/>
      <c r="AD117" s="26"/>
      <c r="AE117" s="26"/>
      <c r="AF117" s="26"/>
      <c r="AG117" s="26"/>
      <c r="AH117" s="26"/>
      <c r="AI117" s="26"/>
    </row>
    <row r="118" spans="2:35" x14ac:dyDescent="0.35">
      <c r="B118" s="24"/>
      <c r="C118" s="24"/>
      <c r="D118" s="24"/>
      <c r="E118" s="24"/>
      <c r="F118" s="24"/>
      <c r="G118" s="24"/>
      <c r="H118" s="24"/>
      <c r="I118" s="24"/>
      <c r="J118" s="24"/>
      <c r="K118" s="24"/>
      <c r="L118" s="24"/>
      <c r="M118" s="24"/>
      <c r="N118" s="24"/>
      <c r="O118" s="24"/>
      <c r="P118" s="24"/>
      <c r="Q118" s="24"/>
      <c r="R118" s="24"/>
      <c r="S118" s="24"/>
      <c r="T118" s="24"/>
      <c r="U118" s="24"/>
      <c r="V118" s="24"/>
      <c r="W118" s="24"/>
      <c r="X118" s="26"/>
      <c r="Y118" s="26"/>
      <c r="Z118" s="26"/>
      <c r="AA118" s="26"/>
      <c r="AB118" s="26"/>
      <c r="AC118" s="26"/>
      <c r="AD118" s="26"/>
      <c r="AE118" s="26"/>
      <c r="AF118" s="26"/>
      <c r="AG118" s="26"/>
      <c r="AH118" s="26"/>
      <c r="AI118" s="26"/>
    </row>
    <row r="119" spans="2:35" x14ac:dyDescent="0.35">
      <c r="B119" s="24"/>
      <c r="C119" s="24"/>
      <c r="D119" s="24"/>
      <c r="E119" s="24"/>
      <c r="F119" s="24"/>
      <c r="G119" s="24"/>
      <c r="H119" s="24"/>
      <c r="I119" s="24"/>
      <c r="J119" s="24"/>
      <c r="K119" s="24"/>
      <c r="L119" s="24"/>
      <c r="M119" s="24"/>
      <c r="N119" s="24"/>
      <c r="O119" s="24"/>
      <c r="P119" s="24"/>
      <c r="Q119" s="24"/>
      <c r="R119" s="24"/>
      <c r="S119" s="24"/>
      <c r="T119" s="24"/>
      <c r="U119" s="24"/>
      <c r="V119" s="24"/>
      <c r="W119" s="24"/>
      <c r="X119" s="26"/>
      <c r="Y119" s="26"/>
      <c r="Z119" s="26"/>
      <c r="AA119" s="26"/>
      <c r="AB119" s="26"/>
      <c r="AC119" s="26"/>
      <c r="AD119" s="26"/>
      <c r="AE119" s="26"/>
      <c r="AF119" s="26"/>
      <c r="AG119" s="26"/>
      <c r="AH119" s="26"/>
      <c r="AI119" s="26"/>
    </row>
    <row r="120" spans="2:35" x14ac:dyDescent="0.35">
      <c r="B120" s="24"/>
      <c r="C120" s="24"/>
      <c r="D120" s="24"/>
      <c r="E120" s="24"/>
      <c r="F120" s="24"/>
      <c r="G120" s="24"/>
      <c r="H120" s="24"/>
      <c r="I120" s="24"/>
      <c r="J120" s="24"/>
      <c r="K120" s="24"/>
      <c r="L120" s="24"/>
      <c r="M120" s="24"/>
      <c r="N120" s="24"/>
      <c r="O120" s="24"/>
      <c r="P120" s="24"/>
      <c r="Q120" s="24"/>
      <c r="R120" s="24"/>
      <c r="S120" s="24"/>
      <c r="T120" s="24"/>
      <c r="U120" s="24"/>
      <c r="V120" s="24"/>
      <c r="W120" s="24"/>
      <c r="X120" s="26"/>
      <c r="Y120" s="26"/>
      <c r="Z120" s="26"/>
      <c r="AA120" s="26"/>
      <c r="AB120" s="26"/>
      <c r="AC120" s="26"/>
      <c r="AD120" s="26"/>
      <c r="AE120" s="26"/>
      <c r="AF120" s="26"/>
      <c r="AG120" s="26"/>
      <c r="AH120" s="26"/>
      <c r="AI120" s="26"/>
    </row>
    <row r="121" spans="2:35" x14ac:dyDescent="0.35">
      <c r="B121" s="24"/>
      <c r="C121" s="24"/>
      <c r="D121" s="24"/>
      <c r="E121" s="24"/>
      <c r="F121" s="24"/>
      <c r="G121" s="24"/>
      <c r="H121" s="24"/>
      <c r="I121" s="24"/>
      <c r="J121" s="24"/>
      <c r="K121" s="24"/>
      <c r="L121" s="24"/>
      <c r="M121" s="24"/>
      <c r="N121" s="24"/>
      <c r="O121" s="24"/>
      <c r="P121" s="24"/>
      <c r="Q121" s="24"/>
      <c r="R121" s="24"/>
      <c r="S121" s="24"/>
      <c r="T121" s="24"/>
      <c r="U121" s="24"/>
      <c r="V121" s="24"/>
      <c r="W121" s="24"/>
      <c r="X121" s="26"/>
      <c r="Y121" s="26"/>
      <c r="Z121" s="26"/>
      <c r="AA121" s="26"/>
      <c r="AB121" s="26"/>
      <c r="AC121" s="26"/>
      <c r="AD121" s="26"/>
      <c r="AE121" s="26"/>
      <c r="AF121" s="26"/>
      <c r="AG121" s="26"/>
      <c r="AH121" s="26"/>
      <c r="AI121" s="26"/>
    </row>
    <row r="122" spans="2:35" x14ac:dyDescent="0.35">
      <c r="B122" s="24"/>
      <c r="C122" s="24"/>
      <c r="D122" s="24"/>
      <c r="E122" s="24"/>
      <c r="F122" s="24"/>
      <c r="G122" s="24"/>
      <c r="H122" s="24"/>
      <c r="I122" s="24"/>
      <c r="J122" s="24"/>
      <c r="K122" s="24"/>
      <c r="L122" s="24"/>
      <c r="M122" s="24"/>
      <c r="N122" s="24"/>
      <c r="O122" s="24"/>
      <c r="P122" s="24"/>
      <c r="Q122" s="24"/>
      <c r="R122" s="24"/>
      <c r="S122" s="24"/>
      <c r="T122" s="24"/>
      <c r="U122" s="24"/>
      <c r="V122" s="24"/>
      <c r="W122" s="24"/>
      <c r="X122" s="26"/>
      <c r="Y122" s="26"/>
      <c r="Z122" s="26"/>
      <c r="AA122" s="26"/>
      <c r="AB122" s="26"/>
      <c r="AC122" s="26"/>
      <c r="AD122" s="26"/>
      <c r="AE122" s="26"/>
      <c r="AF122" s="26"/>
      <c r="AG122" s="26"/>
      <c r="AH122" s="26"/>
      <c r="AI122" s="26"/>
    </row>
    <row r="123" spans="2:35" x14ac:dyDescent="0.35">
      <c r="B123" s="24"/>
      <c r="C123" s="24"/>
      <c r="D123" s="24"/>
      <c r="E123" s="24"/>
      <c r="F123" s="24"/>
      <c r="G123" s="24"/>
      <c r="H123" s="24"/>
      <c r="I123" s="24"/>
      <c r="J123" s="24"/>
      <c r="K123" s="24"/>
      <c r="L123" s="24"/>
      <c r="M123" s="24"/>
      <c r="N123" s="24"/>
      <c r="O123" s="24"/>
      <c r="P123" s="24"/>
      <c r="Q123" s="24"/>
      <c r="R123" s="24"/>
      <c r="S123" s="24"/>
      <c r="T123" s="24"/>
      <c r="U123" s="24"/>
      <c r="V123" s="24"/>
      <c r="W123" s="24"/>
      <c r="X123" s="26"/>
      <c r="Y123" s="26"/>
      <c r="Z123" s="26"/>
      <c r="AA123" s="26"/>
      <c r="AB123" s="26"/>
      <c r="AC123" s="26"/>
      <c r="AD123" s="26"/>
      <c r="AE123" s="26"/>
      <c r="AF123" s="26"/>
      <c r="AG123" s="26"/>
      <c r="AH123" s="26"/>
      <c r="AI123" s="26"/>
    </row>
    <row r="124" spans="2:35" x14ac:dyDescent="0.35">
      <c r="B124" s="24"/>
      <c r="C124" s="24"/>
      <c r="D124" s="24"/>
      <c r="E124" s="24"/>
      <c r="F124" s="24"/>
      <c r="G124" s="24"/>
      <c r="H124" s="24"/>
      <c r="I124" s="24"/>
      <c r="J124" s="24"/>
      <c r="K124" s="24"/>
      <c r="L124" s="24"/>
      <c r="M124" s="24"/>
      <c r="N124" s="24"/>
      <c r="O124" s="24"/>
      <c r="P124" s="24"/>
      <c r="Q124" s="24"/>
      <c r="R124" s="24"/>
      <c r="S124" s="24"/>
      <c r="T124" s="24"/>
      <c r="U124" s="24"/>
      <c r="V124" s="24"/>
      <c r="W124" s="24"/>
      <c r="X124" s="26"/>
      <c r="Y124" s="26"/>
      <c r="Z124" s="26"/>
      <c r="AA124" s="26"/>
      <c r="AB124" s="26"/>
      <c r="AC124" s="26"/>
      <c r="AD124" s="26"/>
      <c r="AE124" s="26"/>
      <c r="AF124" s="26"/>
      <c r="AG124" s="26"/>
      <c r="AH124" s="26"/>
      <c r="AI124" s="26"/>
    </row>
    <row r="125" spans="2:35" x14ac:dyDescent="0.35">
      <c r="B125" s="24"/>
      <c r="C125" s="24"/>
      <c r="D125" s="24"/>
      <c r="E125" s="24"/>
      <c r="F125" s="24"/>
      <c r="G125" s="24"/>
      <c r="H125" s="24"/>
      <c r="I125" s="24"/>
      <c r="J125" s="24"/>
      <c r="K125" s="24"/>
      <c r="L125" s="24"/>
      <c r="M125" s="24"/>
      <c r="N125" s="24"/>
      <c r="O125" s="24"/>
      <c r="P125" s="24"/>
      <c r="Q125" s="24"/>
      <c r="R125" s="24"/>
      <c r="S125" s="24"/>
      <c r="T125" s="24"/>
      <c r="U125" s="24"/>
      <c r="V125" s="24"/>
      <c r="W125" s="24"/>
      <c r="X125" s="26"/>
      <c r="Y125" s="26"/>
      <c r="Z125" s="26"/>
      <c r="AA125" s="26"/>
      <c r="AB125" s="26"/>
      <c r="AC125" s="26"/>
      <c r="AD125" s="26"/>
      <c r="AE125" s="26"/>
      <c r="AF125" s="26"/>
      <c r="AG125" s="26"/>
      <c r="AH125" s="26"/>
      <c r="AI125" s="26"/>
    </row>
    <row r="126" spans="2:35" x14ac:dyDescent="0.35">
      <c r="B126" s="24"/>
      <c r="C126" s="24"/>
      <c r="D126" s="24"/>
      <c r="E126" s="24"/>
      <c r="F126" s="24"/>
      <c r="G126" s="24"/>
      <c r="H126" s="24"/>
      <c r="I126" s="24"/>
      <c r="J126" s="24"/>
      <c r="K126" s="24"/>
      <c r="L126" s="24"/>
      <c r="M126" s="24"/>
      <c r="N126" s="24"/>
      <c r="O126" s="24"/>
      <c r="P126" s="24"/>
      <c r="Q126" s="24"/>
      <c r="R126" s="24"/>
      <c r="S126" s="24"/>
      <c r="T126" s="24"/>
      <c r="U126" s="24"/>
      <c r="V126" s="24"/>
      <c r="W126" s="24"/>
      <c r="X126" s="26"/>
      <c r="Y126" s="26"/>
      <c r="Z126" s="26"/>
      <c r="AA126" s="26"/>
      <c r="AB126" s="26"/>
      <c r="AC126" s="26"/>
      <c r="AD126" s="26"/>
      <c r="AE126" s="26"/>
      <c r="AF126" s="26"/>
      <c r="AG126" s="26"/>
      <c r="AH126" s="26"/>
      <c r="AI126" s="26"/>
    </row>
    <row r="127" spans="2:35" x14ac:dyDescent="0.35">
      <c r="B127" s="24"/>
      <c r="C127" s="24"/>
      <c r="D127" s="24"/>
      <c r="E127" s="24"/>
      <c r="F127" s="24"/>
      <c r="G127" s="24"/>
      <c r="H127" s="24"/>
      <c r="I127" s="24"/>
      <c r="J127" s="24"/>
      <c r="K127" s="24"/>
      <c r="L127" s="24"/>
      <c r="M127" s="24"/>
      <c r="N127" s="24"/>
      <c r="O127" s="24"/>
      <c r="P127" s="24"/>
      <c r="Q127" s="24"/>
      <c r="R127" s="24"/>
      <c r="S127" s="24"/>
      <c r="T127" s="24"/>
      <c r="U127" s="24"/>
      <c r="V127" s="24"/>
      <c r="W127" s="24"/>
      <c r="X127" s="26"/>
      <c r="Y127" s="26"/>
      <c r="Z127" s="26"/>
      <c r="AA127" s="26"/>
      <c r="AB127" s="26"/>
      <c r="AC127" s="26"/>
      <c r="AD127" s="26"/>
      <c r="AE127" s="26"/>
      <c r="AF127" s="26"/>
      <c r="AG127" s="26"/>
      <c r="AH127" s="26"/>
      <c r="AI127" s="26"/>
    </row>
    <row r="128" spans="2:35" x14ac:dyDescent="0.35">
      <c r="B128" s="24"/>
      <c r="C128" s="24"/>
      <c r="D128" s="24"/>
      <c r="E128" s="24"/>
      <c r="F128" s="24"/>
      <c r="G128" s="24"/>
      <c r="H128" s="24"/>
      <c r="I128" s="24"/>
      <c r="J128" s="24"/>
      <c r="K128" s="24"/>
      <c r="L128" s="24"/>
      <c r="M128" s="24"/>
      <c r="N128" s="24"/>
      <c r="O128" s="24"/>
      <c r="P128" s="24"/>
      <c r="Q128" s="24"/>
      <c r="R128" s="24"/>
      <c r="S128" s="24"/>
      <c r="T128" s="24"/>
      <c r="U128" s="24"/>
      <c r="V128" s="24"/>
      <c r="W128" s="24"/>
      <c r="X128" s="26"/>
      <c r="Y128" s="26"/>
      <c r="Z128" s="26"/>
      <c r="AA128" s="26"/>
      <c r="AB128" s="26"/>
      <c r="AC128" s="26"/>
      <c r="AD128" s="26"/>
      <c r="AE128" s="26"/>
      <c r="AF128" s="26"/>
      <c r="AG128" s="26"/>
      <c r="AH128" s="26"/>
      <c r="AI128" s="26"/>
    </row>
    <row r="129" spans="2:35" x14ac:dyDescent="0.35">
      <c r="B129" s="24"/>
      <c r="C129" s="24"/>
      <c r="D129" s="24"/>
      <c r="E129" s="24"/>
      <c r="F129" s="24"/>
      <c r="G129" s="24"/>
      <c r="H129" s="24"/>
      <c r="I129" s="24"/>
      <c r="J129" s="24"/>
      <c r="K129" s="24"/>
      <c r="L129" s="24"/>
      <c r="M129" s="24"/>
      <c r="N129" s="24"/>
      <c r="O129" s="24"/>
      <c r="P129" s="24"/>
      <c r="Q129" s="24"/>
      <c r="R129" s="24"/>
      <c r="S129" s="24"/>
      <c r="T129" s="24"/>
      <c r="U129" s="24"/>
      <c r="V129" s="24"/>
      <c r="W129" s="24"/>
      <c r="X129" s="26"/>
      <c r="Y129" s="26"/>
      <c r="Z129" s="26"/>
      <c r="AA129" s="26"/>
      <c r="AB129" s="26"/>
      <c r="AC129" s="26"/>
      <c r="AD129" s="26"/>
      <c r="AE129" s="26"/>
      <c r="AF129" s="26"/>
      <c r="AG129" s="26"/>
      <c r="AH129" s="26"/>
      <c r="AI129" s="26"/>
    </row>
    <row r="130" spans="2:35" x14ac:dyDescent="0.35">
      <c r="B130" s="24"/>
      <c r="C130" s="24"/>
      <c r="D130" s="24"/>
      <c r="E130" s="24"/>
      <c r="F130" s="24"/>
      <c r="G130" s="24"/>
      <c r="H130" s="24"/>
      <c r="I130" s="24"/>
      <c r="J130" s="24"/>
      <c r="K130" s="24"/>
      <c r="L130" s="24"/>
      <c r="M130" s="24"/>
      <c r="N130" s="24"/>
      <c r="O130" s="24"/>
      <c r="P130" s="24"/>
      <c r="Q130" s="24"/>
      <c r="R130" s="24"/>
      <c r="S130" s="24"/>
      <c r="T130" s="24"/>
      <c r="U130" s="24"/>
      <c r="V130" s="24"/>
      <c r="W130" s="24"/>
      <c r="X130" s="26"/>
      <c r="Y130" s="26"/>
      <c r="Z130" s="26"/>
      <c r="AA130" s="26"/>
      <c r="AB130" s="26"/>
      <c r="AC130" s="26"/>
      <c r="AD130" s="26"/>
      <c r="AE130" s="26"/>
      <c r="AF130" s="26"/>
      <c r="AG130" s="26"/>
      <c r="AH130" s="26"/>
      <c r="AI130" s="26"/>
    </row>
    <row r="131" spans="2:35" x14ac:dyDescent="0.35">
      <c r="B131" s="24"/>
      <c r="C131" s="24"/>
      <c r="D131" s="24"/>
      <c r="E131" s="24"/>
      <c r="F131" s="24"/>
      <c r="G131" s="24"/>
      <c r="H131" s="24"/>
      <c r="I131" s="24"/>
      <c r="J131" s="24"/>
      <c r="K131" s="24"/>
      <c r="L131" s="24"/>
      <c r="M131" s="24"/>
      <c r="N131" s="24"/>
      <c r="O131" s="24"/>
      <c r="P131" s="24"/>
      <c r="Q131" s="24"/>
      <c r="R131" s="24"/>
      <c r="S131" s="24"/>
      <c r="T131" s="24"/>
      <c r="U131" s="24"/>
      <c r="V131" s="24"/>
      <c r="W131" s="24"/>
      <c r="X131" s="26"/>
      <c r="Y131" s="26"/>
      <c r="Z131" s="26"/>
      <c r="AA131" s="26"/>
      <c r="AB131" s="26"/>
      <c r="AC131" s="26"/>
      <c r="AD131" s="26"/>
      <c r="AE131" s="26"/>
      <c r="AF131" s="26"/>
      <c r="AG131" s="26"/>
      <c r="AH131" s="26"/>
      <c r="AI131" s="26"/>
    </row>
    <row r="132" spans="2:35" x14ac:dyDescent="0.35">
      <c r="B132" s="24"/>
      <c r="C132" s="24"/>
      <c r="D132" s="24"/>
      <c r="E132" s="24"/>
      <c r="F132" s="24"/>
      <c r="G132" s="24"/>
      <c r="H132" s="24"/>
      <c r="I132" s="24"/>
      <c r="J132" s="24"/>
      <c r="K132" s="24"/>
      <c r="L132" s="24"/>
      <c r="M132" s="24"/>
      <c r="N132" s="24"/>
      <c r="O132" s="24"/>
      <c r="P132" s="24"/>
      <c r="Q132" s="24"/>
      <c r="R132" s="24"/>
      <c r="S132" s="24"/>
      <c r="T132" s="24"/>
      <c r="U132" s="24"/>
      <c r="V132" s="24"/>
      <c r="W132" s="24"/>
      <c r="X132" s="26"/>
      <c r="Y132" s="26"/>
      <c r="Z132" s="26"/>
      <c r="AA132" s="26"/>
      <c r="AB132" s="26"/>
      <c r="AC132" s="26"/>
      <c r="AD132" s="26"/>
      <c r="AE132" s="26"/>
      <c r="AF132" s="26"/>
      <c r="AG132" s="26"/>
      <c r="AH132" s="26"/>
      <c r="AI132" s="26"/>
    </row>
    <row r="133" spans="2:35" x14ac:dyDescent="0.35">
      <c r="B133" s="24"/>
      <c r="C133" s="24"/>
      <c r="D133" s="24"/>
      <c r="E133" s="24"/>
      <c r="F133" s="24"/>
      <c r="G133" s="24"/>
      <c r="H133" s="24"/>
      <c r="I133" s="24"/>
      <c r="J133" s="24"/>
      <c r="K133" s="24"/>
      <c r="L133" s="24"/>
      <c r="M133" s="24"/>
      <c r="N133" s="24"/>
      <c r="O133" s="24"/>
      <c r="P133" s="24"/>
      <c r="Q133" s="24"/>
      <c r="R133" s="24"/>
      <c r="S133" s="24"/>
      <c r="T133" s="24"/>
      <c r="U133" s="24"/>
      <c r="V133" s="24"/>
      <c r="W133" s="24"/>
      <c r="X133" s="26"/>
      <c r="Y133" s="26"/>
      <c r="Z133" s="26"/>
      <c r="AA133" s="26"/>
      <c r="AB133" s="26"/>
      <c r="AC133" s="26"/>
      <c r="AD133" s="26"/>
      <c r="AE133" s="26"/>
      <c r="AF133" s="26"/>
      <c r="AG133" s="26"/>
      <c r="AH133" s="26"/>
      <c r="AI133" s="26"/>
    </row>
    <row r="134" spans="2:35" x14ac:dyDescent="0.35">
      <c r="B134" s="24"/>
      <c r="C134" s="24"/>
      <c r="D134" s="24"/>
      <c r="E134" s="24"/>
      <c r="F134" s="24"/>
      <c r="G134" s="24"/>
      <c r="H134" s="24"/>
      <c r="I134" s="24"/>
      <c r="J134" s="24"/>
      <c r="K134" s="24"/>
      <c r="L134" s="24"/>
      <c r="M134" s="24"/>
      <c r="N134" s="24"/>
      <c r="O134" s="24"/>
      <c r="P134" s="24"/>
      <c r="Q134" s="24"/>
      <c r="R134" s="24"/>
      <c r="S134" s="24"/>
      <c r="T134" s="24"/>
      <c r="U134" s="24"/>
      <c r="V134" s="24"/>
      <c r="W134" s="24"/>
      <c r="X134" s="26"/>
      <c r="Y134" s="26"/>
      <c r="Z134" s="26"/>
      <c r="AA134" s="26"/>
      <c r="AB134" s="26"/>
      <c r="AC134" s="26"/>
      <c r="AD134" s="26"/>
      <c r="AE134" s="26"/>
      <c r="AF134" s="26"/>
      <c r="AG134" s="26"/>
      <c r="AH134" s="26"/>
      <c r="AI134" s="26"/>
    </row>
    <row r="135" spans="2:35" x14ac:dyDescent="0.35">
      <c r="B135" s="24"/>
      <c r="C135" s="24"/>
      <c r="D135" s="24"/>
      <c r="E135" s="24"/>
      <c r="F135" s="24"/>
      <c r="G135" s="24"/>
      <c r="H135" s="24"/>
      <c r="I135" s="24"/>
      <c r="J135" s="24"/>
      <c r="K135" s="24"/>
      <c r="L135" s="24"/>
      <c r="M135" s="24"/>
      <c r="N135" s="24"/>
      <c r="O135" s="24"/>
      <c r="P135" s="24"/>
      <c r="Q135" s="24"/>
      <c r="R135" s="24"/>
      <c r="S135" s="24"/>
      <c r="T135" s="24"/>
      <c r="U135" s="24"/>
      <c r="V135" s="24"/>
      <c r="W135" s="24"/>
      <c r="X135" s="26"/>
      <c r="Y135" s="26"/>
      <c r="Z135" s="26"/>
      <c r="AA135" s="26"/>
      <c r="AB135" s="26"/>
      <c r="AC135" s="26"/>
      <c r="AD135" s="26"/>
      <c r="AE135" s="26"/>
      <c r="AF135" s="26"/>
      <c r="AG135" s="26"/>
      <c r="AH135" s="26"/>
      <c r="AI135" s="26"/>
    </row>
    <row r="136" spans="2:35" x14ac:dyDescent="0.35">
      <c r="B136" s="24"/>
      <c r="C136" s="24"/>
      <c r="D136" s="24"/>
      <c r="E136" s="24"/>
      <c r="F136" s="24"/>
      <c r="G136" s="24"/>
      <c r="H136" s="24"/>
      <c r="I136" s="24"/>
      <c r="J136" s="24"/>
      <c r="K136" s="24"/>
      <c r="L136" s="24"/>
      <c r="M136" s="24"/>
      <c r="N136" s="24"/>
      <c r="O136" s="24"/>
      <c r="P136" s="24"/>
      <c r="Q136" s="24"/>
      <c r="R136" s="24"/>
      <c r="S136" s="24"/>
      <c r="T136" s="24"/>
      <c r="U136" s="24"/>
      <c r="V136" s="24"/>
      <c r="W136" s="24"/>
      <c r="X136" s="26"/>
      <c r="Y136" s="26"/>
      <c r="Z136" s="26"/>
      <c r="AA136" s="26"/>
      <c r="AB136" s="26"/>
      <c r="AC136" s="26"/>
      <c r="AD136" s="26"/>
      <c r="AE136" s="26"/>
      <c r="AF136" s="26"/>
      <c r="AG136" s="26"/>
      <c r="AH136" s="26"/>
      <c r="AI136" s="26"/>
    </row>
    <row r="137" spans="2:35" x14ac:dyDescent="0.35">
      <c r="B137" s="24"/>
      <c r="C137" s="24"/>
      <c r="D137" s="24"/>
      <c r="E137" s="24"/>
      <c r="F137" s="24"/>
      <c r="G137" s="24"/>
      <c r="H137" s="24"/>
      <c r="I137" s="24"/>
      <c r="J137" s="24"/>
      <c r="K137" s="24"/>
      <c r="L137" s="24"/>
      <c r="M137" s="24"/>
      <c r="N137" s="24"/>
      <c r="O137" s="24"/>
      <c r="P137" s="24"/>
      <c r="Q137" s="24"/>
      <c r="R137" s="24"/>
      <c r="S137" s="24"/>
      <c r="T137" s="24"/>
      <c r="U137" s="24"/>
      <c r="V137" s="24"/>
      <c r="W137" s="24"/>
      <c r="X137" s="26"/>
      <c r="Y137" s="26"/>
      <c r="Z137" s="26"/>
      <c r="AA137" s="26"/>
      <c r="AB137" s="26"/>
      <c r="AC137" s="26"/>
      <c r="AD137" s="26"/>
      <c r="AE137" s="26"/>
      <c r="AF137" s="26"/>
      <c r="AG137" s="26"/>
      <c r="AH137" s="26"/>
      <c r="AI137" s="26"/>
    </row>
    <row r="138" spans="2:35" x14ac:dyDescent="0.35">
      <c r="B138" s="24"/>
      <c r="C138" s="24"/>
      <c r="D138" s="24"/>
      <c r="E138" s="24"/>
      <c r="F138" s="24"/>
      <c r="G138" s="24"/>
      <c r="H138" s="24"/>
      <c r="I138" s="24"/>
      <c r="J138" s="24"/>
      <c r="K138" s="24"/>
      <c r="L138" s="24"/>
      <c r="M138" s="24"/>
      <c r="N138" s="24"/>
      <c r="O138" s="24"/>
      <c r="P138" s="24"/>
      <c r="Q138" s="24"/>
      <c r="R138" s="24"/>
      <c r="S138" s="24"/>
      <c r="T138" s="24"/>
      <c r="U138" s="24"/>
      <c r="V138" s="24"/>
      <c r="W138" s="24"/>
      <c r="X138" s="26"/>
      <c r="Y138" s="26"/>
      <c r="Z138" s="26"/>
      <c r="AA138" s="26"/>
      <c r="AB138" s="26"/>
      <c r="AC138" s="26"/>
      <c r="AD138" s="26"/>
      <c r="AE138" s="26"/>
      <c r="AF138" s="26"/>
      <c r="AG138" s="26"/>
      <c r="AH138" s="26"/>
      <c r="AI138" s="26"/>
    </row>
    <row r="139" spans="2:35" x14ac:dyDescent="0.35">
      <c r="B139" s="24"/>
      <c r="C139" s="24"/>
      <c r="D139" s="24"/>
      <c r="E139" s="24"/>
      <c r="F139" s="24"/>
      <c r="G139" s="24"/>
      <c r="H139" s="24"/>
      <c r="I139" s="24"/>
      <c r="J139" s="24"/>
      <c r="K139" s="24"/>
      <c r="L139" s="24"/>
      <c r="M139" s="24"/>
      <c r="N139" s="24"/>
      <c r="O139" s="24"/>
      <c r="P139" s="24"/>
      <c r="Q139" s="24"/>
      <c r="R139" s="24"/>
      <c r="S139" s="24"/>
      <c r="T139" s="24"/>
      <c r="U139" s="24"/>
      <c r="V139" s="24"/>
      <c r="W139" s="24"/>
      <c r="X139" s="26"/>
      <c r="Y139" s="26"/>
      <c r="Z139" s="26"/>
      <c r="AA139" s="26"/>
      <c r="AB139" s="26"/>
      <c r="AC139" s="26"/>
      <c r="AD139" s="26"/>
      <c r="AE139" s="26"/>
      <c r="AF139" s="26"/>
      <c r="AG139" s="26"/>
      <c r="AH139" s="26"/>
      <c r="AI139" s="26"/>
    </row>
    <row r="140" spans="2:35" x14ac:dyDescent="0.35">
      <c r="B140" s="24"/>
      <c r="C140" s="24"/>
      <c r="D140" s="24"/>
      <c r="E140" s="24"/>
      <c r="F140" s="24"/>
      <c r="G140" s="24"/>
      <c r="H140" s="24"/>
      <c r="I140" s="24"/>
      <c r="J140" s="24"/>
      <c r="K140" s="24"/>
      <c r="L140" s="24"/>
      <c r="M140" s="24"/>
      <c r="N140" s="24"/>
      <c r="O140" s="24"/>
      <c r="P140" s="24"/>
      <c r="Q140" s="24"/>
      <c r="R140" s="24"/>
      <c r="S140" s="24"/>
      <c r="T140" s="24"/>
      <c r="U140" s="24"/>
      <c r="V140" s="24"/>
      <c r="W140" s="24"/>
      <c r="X140" s="26"/>
      <c r="Y140" s="26"/>
      <c r="Z140" s="26"/>
      <c r="AA140" s="26"/>
      <c r="AB140" s="26"/>
      <c r="AC140" s="26"/>
      <c r="AD140" s="26"/>
      <c r="AE140" s="26"/>
      <c r="AF140" s="26"/>
      <c r="AG140" s="26"/>
      <c r="AH140" s="26"/>
      <c r="AI140" s="26"/>
    </row>
    <row r="141" spans="2:35" x14ac:dyDescent="0.35">
      <c r="B141" s="24"/>
      <c r="C141" s="24"/>
      <c r="D141" s="24"/>
      <c r="E141" s="24"/>
      <c r="F141" s="24"/>
      <c r="G141" s="24"/>
      <c r="H141" s="24"/>
      <c r="I141" s="24"/>
      <c r="J141" s="24"/>
      <c r="K141" s="24"/>
      <c r="L141" s="24"/>
      <c r="M141" s="24"/>
      <c r="N141" s="24"/>
      <c r="O141" s="24"/>
      <c r="P141" s="24"/>
      <c r="Q141" s="24"/>
      <c r="R141" s="24"/>
      <c r="S141" s="24"/>
      <c r="T141" s="24"/>
      <c r="U141" s="24"/>
      <c r="V141" s="24"/>
      <c r="W141" s="24"/>
      <c r="X141" s="26"/>
      <c r="Y141" s="26"/>
      <c r="Z141" s="26"/>
      <c r="AA141" s="26"/>
      <c r="AB141" s="26"/>
      <c r="AC141" s="26"/>
      <c r="AD141" s="26"/>
      <c r="AE141" s="26"/>
      <c r="AF141" s="26"/>
      <c r="AG141" s="26"/>
      <c r="AH141" s="26"/>
      <c r="AI141" s="26"/>
    </row>
    <row r="142" spans="2:35" x14ac:dyDescent="0.35">
      <c r="B142" s="24"/>
      <c r="C142" s="24"/>
      <c r="D142" s="24"/>
      <c r="E142" s="24"/>
      <c r="F142" s="24"/>
      <c r="G142" s="24"/>
      <c r="H142" s="24"/>
      <c r="I142" s="24"/>
      <c r="J142" s="24"/>
      <c r="K142" s="24"/>
      <c r="L142" s="24"/>
      <c r="M142" s="24"/>
      <c r="N142" s="24"/>
      <c r="O142" s="24"/>
      <c r="P142" s="24"/>
      <c r="Q142" s="24"/>
      <c r="R142" s="24"/>
      <c r="S142" s="24"/>
      <c r="T142" s="24"/>
      <c r="U142" s="24"/>
      <c r="V142" s="24"/>
      <c r="W142" s="24"/>
      <c r="X142" s="26"/>
      <c r="Y142" s="26"/>
      <c r="Z142" s="26"/>
      <c r="AA142" s="26"/>
      <c r="AB142" s="26"/>
      <c r="AC142" s="26"/>
      <c r="AD142" s="26"/>
      <c r="AE142" s="26"/>
      <c r="AF142" s="26"/>
      <c r="AG142" s="26"/>
      <c r="AH142" s="26"/>
      <c r="AI142" s="26"/>
    </row>
    <row r="143" spans="2:35" x14ac:dyDescent="0.35">
      <c r="B143" s="24"/>
      <c r="C143" s="24"/>
      <c r="D143" s="24"/>
      <c r="E143" s="24"/>
      <c r="F143" s="24"/>
      <c r="G143" s="24"/>
      <c r="H143" s="24"/>
      <c r="I143" s="24"/>
      <c r="J143" s="24"/>
      <c r="K143" s="24"/>
      <c r="L143" s="24"/>
      <c r="M143" s="24"/>
      <c r="N143" s="24"/>
      <c r="O143" s="24"/>
      <c r="P143" s="24"/>
      <c r="Q143" s="24"/>
      <c r="R143" s="24"/>
      <c r="S143" s="24"/>
      <c r="T143" s="24"/>
      <c r="U143" s="24"/>
      <c r="V143" s="24"/>
      <c r="W143" s="24"/>
      <c r="X143" s="26"/>
      <c r="Y143" s="26"/>
      <c r="Z143" s="26"/>
      <c r="AA143" s="26"/>
      <c r="AB143" s="26"/>
      <c r="AC143" s="26"/>
      <c r="AD143" s="26"/>
      <c r="AE143" s="26"/>
      <c r="AF143" s="26"/>
      <c r="AG143" s="26"/>
      <c r="AH143" s="26"/>
      <c r="AI143" s="26"/>
    </row>
    <row r="144" spans="2:35" x14ac:dyDescent="0.35">
      <c r="B144" s="24"/>
      <c r="C144" s="24"/>
      <c r="D144" s="24"/>
      <c r="E144" s="24"/>
      <c r="F144" s="24"/>
      <c r="G144" s="24"/>
      <c r="H144" s="24"/>
      <c r="I144" s="24"/>
      <c r="J144" s="24"/>
      <c r="K144" s="24"/>
      <c r="L144" s="24"/>
      <c r="M144" s="24"/>
      <c r="N144" s="24"/>
      <c r="O144" s="24"/>
      <c r="P144" s="24"/>
      <c r="Q144" s="24"/>
      <c r="R144" s="24"/>
      <c r="S144" s="24"/>
      <c r="T144" s="24"/>
      <c r="U144" s="24"/>
      <c r="V144" s="24"/>
      <c r="W144" s="24"/>
      <c r="X144" s="26"/>
      <c r="Y144" s="26"/>
      <c r="Z144" s="26"/>
      <c r="AA144" s="26"/>
      <c r="AB144" s="26"/>
      <c r="AC144" s="26"/>
      <c r="AD144" s="26"/>
      <c r="AE144" s="26"/>
      <c r="AF144" s="26"/>
      <c r="AG144" s="26"/>
      <c r="AH144" s="26"/>
      <c r="AI144" s="26"/>
    </row>
    <row r="145" spans="2:35" x14ac:dyDescent="0.35">
      <c r="B145" s="24"/>
      <c r="C145" s="24"/>
      <c r="D145" s="24"/>
      <c r="E145" s="24"/>
      <c r="F145" s="24"/>
      <c r="G145" s="24"/>
      <c r="H145" s="24"/>
      <c r="I145" s="24"/>
      <c r="J145" s="24"/>
      <c r="K145" s="24"/>
      <c r="L145" s="24"/>
      <c r="M145" s="24"/>
      <c r="N145" s="24"/>
      <c r="O145" s="24"/>
      <c r="P145" s="24"/>
      <c r="Q145" s="24"/>
      <c r="R145" s="24"/>
      <c r="S145" s="24"/>
      <c r="T145" s="24"/>
      <c r="U145" s="24"/>
      <c r="V145" s="24"/>
      <c r="W145" s="24"/>
      <c r="X145" s="26"/>
      <c r="Y145" s="26"/>
      <c r="Z145" s="26"/>
      <c r="AA145" s="26"/>
      <c r="AB145" s="26"/>
      <c r="AC145" s="26"/>
      <c r="AD145" s="26"/>
      <c r="AE145" s="26"/>
      <c r="AF145" s="26"/>
      <c r="AG145" s="26"/>
      <c r="AH145" s="26"/>
      <c r="AI145" s="26"/>
    </row>
    <row r="146" spans="2:35" x14ac:dyDescent="0.35">
      <c r="B146" s="24"/>
      <c r="C146" s="24"/>
      <c r="D146" s="24"/>
      <c r="E146" s="24"/>
      <c r="F146" s="24"/>
      <c r="G146" s="24"/>
      <c r="H146" s="24"/>
      <c r="I146" s="24"/>
      <c r="J146" s="24"/>
      <c r="K146" s="24"/>
      <c r="L146" s="24"/>
      <c r="M146" s="24"/>
      <c r="N146" s="24"/>
      <c r="O146" s="24"/>
      <c r="P146" s="24"/>
      <c r="Q146" s="24"/>
      <c r="R146" s="24"/>
      <c r="S146" s="24"/>
      <c r="T146" s="24"/>
      <c r="U146" s="24"/>
      <c r="V146" s="24"/>
      <c r="W146" s="24"/>
      <c r="X146" s="26"/>
      <c r="Y146" s="26"/>
      <c r="Z146" s="26"/>
      <c r="AA146" s="26"/>
      <c r="AB146" s="26"/>
      <c r="AC146" s="26"/>
      <c r="AD146" s="26"/>
      <c r="AE146" s="26"/>
      <c r="AF146" s="26"/>
      <c r="AG146" s="26"/>
      <c r="AH146" s="26"/>
      <c r="AI146" s="26"/>
    </row>
    <row r="147" spans="2:35" x14ac:dyDescent="0.35">
      <c r="B147" s="24"/>
      <c r="C147" s="24"/>
      <c r="D147" s="24"/>
      <c r="E147" s="24"/>
      <c r="F147" s="24"/>
      <c r="G147" s="24"/>
      <c r="H147" s="24"/>
      <c r="I147" s="24"/>
      <c r="J147" s="24"/>
      <c r="K147" s="24"/>
      <c r="L147" s="24"/>
      <c r="M147" s="24"/>
      <c r="N147" s="24"/>
      <c r="O147" s="24"/>
      <c r="P147" s="24"/>
      <c r="Q147" s="24"/>
      <c r="R147" s="24"/>
      <c r="S147" s="24"/>
      <c r="T147" s="24"/>
      <c r="U147" s="24"/>
      <c r="V147" s="24"/>
      <c r="W147" s="24"/>
      <c r="X147" s="26"/>
      <c r="Y147" s="26"/>
      <c r="Z147" s="26"/>
      <c r="AA147" s="26"/>
      <c r="AB147" s="26"/>
      <c r="AC147" s="26"/>
      <c r="AD147" s="26"/>
      <c r="AE147" s="26"/>
      <c r="AF147" s="26"/>
      <c r="AG147" s="26"/>
      <c r="AH147" s="26"/>
      <c r="AI147" s="26"/>
    </row>
    <row r="148" spans="2:35" x14ac:dyDescent="0.35">
      <c r="B148" s="24"/>
      <c r="C148" s="24"/>
      <c r="D148" s="24"/>
      <c r="E148" s="24"/>
      <c r="F148" s="24"/>
      <c r="G148" s="24"/>
      <c r="H148" s="24"/>
      <c r="I148" s="24"/>
      <c r="J148" s="24"/>
      <c r="K148" s="24"/>
      <c r="L148" s="24"/>
      <c r="M148" s="24"/>
      <c r="N148" s="24"/>
      <c r="O148" s="24"/>
      <c r="P148" s="24"/>
      <c r="Q148" s="24"/>
      <c r="R148" s="24"/>
      <c r="S148" s="24"/>
      <c r="T148" s="24"/>
      <c r="U148" s="24"/>
      <c r="V148" s="24"/>
      <c r="W148" s="24"/>
      <c r="X148" s="26"/>
      <c r="Y148" s="26"/>
      <c r="Z148" s="26"/>
      <c r="AA148" s="26"/>
      <c r="AB148" s="26"/>
      <c r="AC148" s="26"/>
      <c r="AD148" s="26"/>
      <c r="AE148" s="26"/>
      <c r="AF148" s="26"/>
      <c r="AG148" s="26"/>
      <c r="AH148" s="26"/>
      <c r="AI148" s="26"/>
    </row>
    <row r="149" spans="2:35" x14ac:dyDescent="0.35">
      <c r="B149" s="24"/>
      <c r="C149" s="24"/>
      <c r="D149" s="24"/>
      <c r="E149" s="24"/>
      <c r="F149" s="24"/>
      <c r="G149" s="24"/>
      <c r="H149" s="24"/>
      <c r="I149" s="24"/>
      <c r="J149" s="24"/>
      <c r="K149" s="24"/>
      <c r="L149" s="24"/>
      <c r="M149" s="24"/>
      <c r="N149" s="24"/>
      <c r="O149" s="24"/>
      <c r="P149" s="24"/>
      <c r="Q149" s="24"/>
      <c r="R149" s="24"/>
      <c r="S149" s="24"/>
      <c r="T149" s="24"/>
      <c r="U149" s="24"/>
      <c r="V149" s="24"/>
      <c r="W149" s="24"/>
      <c r="X149" s="26"/>
      <c r="Y149" s="26"/>
      <c r="Z149" s="26"/>
      <c r="AA149" s="26"/>
      <c r="AB149" s="26"/>
      <c r="AC149" s="26"/>
      <c r="AD149" s="26"/>
      <c r="AE149" s="26"/>
      <c r="AF149" s="26"/>
      <c r="AG149" s="26"/>
      <c r="AH149" s="26"/>
      <c r="AI149" s="26"/>
    </row>
    <row r="150" spans="2:35" x14ac:dyDescent="0.35">
      <c r="B150" s="24"/>
      <c r="C150" s="24"/>
      <c r="D150" s="24"/>
      <c r="E150" s="24"/>
      <c r="F150" s="24"/>
      <c r="G150" s="24"/>
      <c r="H150" s="24"/>
      <c r="I150" s="24"/>
      <c r="J150" s="24"/>
      <c r="K150" s="24"/>
      <c r="L150" s="24"/>
      <c r="M150" s="24"/>
      <c r="N150" s="24"/>
      <c r="O150" s="24"/>
      <c r="P150" s="24"/>
      <c r="Q150" s="24"/>
      <c r="R150" s="24"/>
      <c r="S150" s="24"/>
      <c r="T150" s="24"/>
      <c r="U150" s="24"/>
      <c r="V150" s="24"/>
      <c r="W150" s="24"/>
      <c r="X150" s="26"/>
      <c r="Y150" s="26"/>
      <c r="Z150" s="26"/>
      <c r="AA150" s="26"/>
      <c r="AB150" s="26"/>
      <c r="AC150" s="26"/>
      <c r="AD150" s="26"/>
      <c r="AE150" s="26"/>
      <c r="AF150" s="26"/>
      <c r="AG150" s="26"/>
      <c r="AH150" s="26"/>
      <c r="AI150" s="26"/>
    </row>
    <row r="151" spans="2:35" x14ac:dyDescent="0.35">
      <c r="B151" s="24"/>
      <c r="C151" s="24"/>
      <c r="D151" s="24"/>
      <c r="E151" s="24"/>
      <c r="F151" s="24"/>
      <c r="G151" s="24"/>
      <c r="H151" s="24"/>
      <c r="I151" s="24"/>
      <c r="J151" s="24"/>
      <c r="K151" s="24"/>
      <c r="L151" s="24"/>
      <c r="M151" s="24"/>
      <c r="N151" s="24"/>
      <c r="O151" s="24"/>
      <c r="P151" s="24"/>
      <c r="Q151" s="24"/>
      <c r="R151" s="24"/>
      <c r="S151" s="24"/>
      <c r="T151" s="24"/>
      <c r="U151" s="24"/>
      <c r="V151" s="24"/>
      <c r="W151" s="24"/>
      <c r="X151" s="26"/>
      <c r="Y151" s="26"/>
      <c r="Z151" s="26"/>
      <c r="AA151" s="26"/>
      <c r="AB151" s="26"/>
      <c r="AC151" s="26"/>
      <c r="AD151" s="26"/>
      <c r="AE151" s="26"/>
      <c r="AF151" s="26"/>
      <c r="AG151" s="26"/>
      <c r="AH151" s="26"/>
      <c r="AI151" s="26"/>
    </row>
    <row r="152" spans="2:35" x14ac:dyDescent="0.35">
      <c r="B152" s="24"/>
      <c r="C152" s="24"/>
      <c r="D152" s="24"/>
      <c r="E152" s="24"/>
      <c r="F152" s="24"/>
      <c r="G152" s="24"/>
      <c r="H152" s="24"/>
      <c r="I152" s="24"/>
      <c r="J152" s="24"/>
      <c r="K152" s="24"/>
      <c r="L152" s="24"/>
      <c r="M152" s="24"/>
      <c r="N152" s="24"/>
      <c r="O152" s="24"/>
      <c r="P152" s="24"/>
      <c r="Q152" s="24"/>
      <c r="R152" s="24"/>
      <c r="S152" s="24"/>
      <c r="T152" s="24"/>
      <c r="U152" s="24"/>
      <c r="V152" s="24"/>
      <c r="W152" s="24"/>
      <c r="X152" s="26"/>
      <c r="Y152" s="26"/>
      <c r="Z152" s="26"/>
      <c r="AA152" s="26"/>
      <c r="AB152" s="26"/>
      <c r="AC152" s="26"/>
      <c r="AD152" s="26"/>
      <c r="AE152" s="26"/>
      <c r="AF152" s="26"/>
      <c r="AG152" s="26"/>
      <c r="AH152" s="26"/>
      <c r="AI152" s="26"/>
    </row>
    <row r="153" spans="2:35" x14ac:dyDescent="0.35">
      <c r="B153" s="24"/>
      <c r="C153" s="24"/>
      <c r="D153" s="24"/>
      <c r="E153" s="24"/>
      <c r="F153" s="24"/>
      <c r="G153" s="24"/>
      <c r="H153" s="24"/>
      <c r="I153" s="24"/>
      <c r="J153" s="24"/>
      <c r="K153" s="24"/>
      <c r="L153" s="24"/>
      <c r="M153" s="24"/>
      <c r="N153" s="24"/>
      <c r="O153" s="24"/>
      <c r="P153" s="24"/>
      <c r="Q153" s="24"/>
      <c r="R153" s="24"/>
      <c r="S153" s="24"/>
      <c r="T153" s="24"/>
      <c r="U153" s="24"/>
      <c r="V153" s="24"/>
      <c r="W153" s="24"/>
      <c r="X153" s="26"/>
      <c r="Y153" s="26"/>
      <c r="Z153" s="26"/>
      <c r="AA153" s="26"/>
      <c r="AB153" s="26"/>
      <c r="AC153" s="26"/>
      <c r="AD153" s="26"/>
      <c r="AE153" s="26"/>
      <c r="AF153" s="26"/>
      <c r="AG153" s="26"/>
      <c r="AH153" s="26"/>
      <c r="AI153" s="26"/>
    </row>
    <row r="154" spans="2:35" x14ac:dyDescent="0.35">
      <c r="B154" s="24"/>
      <c r="C154" s="24"/>
      <c r="D154" s="24"/>
      <c r="E154" s="24"/>
      <c r="F154" s="24"/>
      <c r="G154" s="24"/>
      <c r="H154" s="24"/>
      <c r="I154" s="24"/>
      <c r="J154" s="24"/>
      <c r="K154" s="24"/>
      <c r="L154" s="24"/>
      <c r="M154" s="24"/>
      <c r="N154" s="24"/>
      <c r="O154" s="24"/>
      <c r="P154" s="24"/>
      <c r="Q154" s="24"/>
      <c r="R154" s="24"/>
      <c r="S154" s="24"/>
      <c r="T154" s="24"/>
      <c r="U154" s="24"/>
      <c r="V154" s="24"/>
      <c r="W154" s="24"/>
      <c r="X154" s="26"/>
      <c r="Y154" s="26"/>
      <c r="Z154" s="26"/>
      <c r="AA154" s="26"/>
      <c r="AB154" s="26"/>
      <c r="AC154" s="26"/>
      <c r="AD154" s="26"/>
      <c r="AE154" s="26"/>
      <c r="AF154" s="26"/>
      <c r="AG154" s="26"/>
      <c r="AH154" s="26"/>
      <c r="AI154" s="26"/>
    </row>
    <row r="155" spans="2:35" x14ac:dyDescent="0.35">
      <c r="B155" s="24"/>
      <c r="C155" s="24"/>
      <c r="D155" s="24"/>
      <c r="E155" s="24"/>
      <c r="F155" s="24"/>
      <c r="G155" s="24"/>
      <c r="H155" s="24"/>
      <c r="I155" s="24"/>
      <c r="J155" s="24"/>
      <c r="K155" s="24"/>
      <c r="L155" s="24"/>
      <c r="M155" s="24"/>
      <c r="N155" s="24"/>
      <c r="O155" s="24"/>
      <c r="P155" s="24"/>
      <c r="Q155" s="24"/>
      <c r="R155" s="24"/>
      <c r="S155" s="24"/>
      <c r="T155" s="24"/>
      <c r="U155" s="24"/>
      <c r="V155" s="24"/>
      <c r="W155" s="24"/>
      <c r="X155" s="26"/>
      <c r="Y155" s="26"/>
      <c r="Z155" s="26"/>
      <c r="AA155" s="26"/>
      <c r="AB155" s="26"/>
      <c r="AC155" s="26"/>
      <c r="AD155" s="26"/>
      <c r="AE155" s="26"/>
      <c r="AF155" s="26"/>
      <c r="AG155" s="26"/>
      <c r="AH155" s="26"/>
      <c r="AI155" s="26"/>
    </row>
    <row r="156" spans="2:35" x14ac:dyDescent="0.35">
      <c r="B156" s="24"/>
      <c r="C156" s="24"/>
      <c r="D156" s="24"/>
      <c r="E156" s="24"/>
      <c r="F156" s="24"/>
      <c r="G156" s="24"/>
      <c r="H156" s="24"/>
      <c r="I156" s="24"/>
      <c r="J156" s="24"/>
      <c r="K156" s="24"/>
      <c r="L156" s="24"/>
      <c r="M156" s="24"/>
      <c r="N156" s="24"/>
      <c r="O156" s="24"/>
      <c r="P156" s="24"/>
      <c r="Q156" s="24"/>
      <c r="R156" s="24"/>
      <c r="S156" s="24"/>
      <c r="T156" s="24"/>
      <c r="U156" s="24"/>
      <c r="V156" s="24"/>
      <c r="W156" s="24"/>
      <c r="X156" s="26"/>
      <c r="Y156" s="26"/>
      <c r="Z156" s="26"/>
      <c r="AA156" s="26"/>
      <c r="AB156" s="26"/>
      <c r="AC156" s="26"/>
      <c r="AD156" s="26"/>
      <c r="AE156" s="26"/>
      <c r="AF156" s="26"/>
      <c r="AG156" s="26"/>
      <c r="AH156" s="26"/>
      <c r="AI156" s="26"/>
    </row>
    <row r="157" spans="2:35" x14ac:dyDescent="0.35">
      <c r="B157" s="24"/>
      <c r="C157" s="24"/>
      <c r="D157" s="24"/>
      <c r="E157" s="24"/>
      <c r="F157" s="24"/>
      <c r="G157" s="24"/>
      <c r="H157" s="24"/>
      <c r="I157" s="24"/>
      <c r="J157" s="24"/>
      <c r="K157" s="24"/>
      <c r="L157" s="24"/>
      <c r="M157" s="24"/>
      <c r="N157" s="24"/>
      <c r="O157" s="24"/>
      <c r="P157" s="24"/>
      <c r="Q157" s="24"/>
      <c r="R157" s="24"/>
      <c r="S157" s="24"/>
      <c r="T157" s="24"/>
      <c r="U157" s="24"/>
      <c r="V157" s="24"/>
      <c r="W157" s="24"/>
      <c r="X157" s="26"/>
      <c r="Y157" s="26"/>
      <c r="Z157" s="26"/>
      <c r="AA157" s="26"/>
      <c r="AB157" s="26"/>
      <c r="AC157" s="26"/>
      <c r="AD157" s="26"/>
      <c r="AE157" s="26"/>
      <c r="AF157" s="26"/>
      <c r="AG157" s="26"/>
      <c r="AH157" s="26"/>
      <c r="AI157" s="26"/>
    </row>
    <row r="158" spans="2:35" x14ac:dyDescent="0.35">
      <c r="B158" s="24"/>
      <c r="C158" s="24"/>
      <c r="D158" s="24"/>
      <c r="E158" s="24"/>
      <c r="F158" s="24"/>
      <c r="G158" s="24"/>
      <c r="H158" s="24"/>
      <c r="I158" s="24"/>
      <c r="J158" s="24"/>
      <c r="K158" s="24"/>
      <c r="L158" s="24"/>
      <c r="M158" s="24"/>
      <c r="N158" s="24"/>
      <c r="O158" s="24"/>
      <c r="P158" s="24"/>
      <c r="Q158" s="24"/>
      <c r="R158" s="24"/>
      <c r="S158" s="24"/>
      <c r="T158" s="24"/>
      <c r="U158" s="24"/>
      <c r="V158" s="24"/>
      <c r="W158" s="24"/>
      <c r="X158" s="26"/>
      <c r="Y158" s="26"/>
      <c r="Z158" s="26"/>
      <c r="AA158" s="26"/>
      <c r="AB158" s="26"/>
      <c r="AC158" s="26"/>
      <c r="AD158" s="26"/>
      <c r="AE158" s="26"/>
      <c r="AF158" s="26"/>
      <c r="AG158" s="26"/>
      <c r="AH158" s="26"/>
      <c r="AI158" s="26"/>
    </row>
    <row r="159" spans="2:35" x14ac:dyDescent="0.35">
      <c r="B159" s="24"/>
      <c r="C159" s="24"/>
      <c r="D159" s="24"/>
      <c r="E159" s="24"/>
      <c r="F159" s="24"/>
      <c r="G159" s="24"/>
      <c r="H159" s="24"/>
      <c r="I159" s="24"/>
      <c r="J159" s="24"/>
      <c r="K159" s="24"/>
      <c r="L159" s="24"/>
      <c r="M159" s="24"/>
      <c r="N159" s="24"/>
      <c r="O159" s="24"/>
      <c r="P159" s="24"/>
      <c r="Q159" s="24"/>
      <c r="R159" s="24"/>
      <c r="S159" s="24"/>
      <c r="T159" s="24"/>
      <c r="U159" s="24"/>
      <c r="V159" s="24"/>
      <c r="W159" s="24"/>
      <c r="X159" s="26"/>
      <c r="Y159" s="26"/>
      <c r="Z159" s="26"/>
      <c r="AA159" s="26"/>
      <c r="AB159" s="26"/>
      <c r="AC159" s="26"/>
      <c r="AD159" s="26"/>
      <c r="AE159" s="26"/>
      <c r="AF159" s="26"/>
      <c r="AG159" s="26"/>
      <c r="AH159" s="26"/>
      <c r="AI159" s="26"/>
    </row>
    <row r="160" spans="2:35" x14ac:dyDescent="0.35">
      <c r="B160" s="24"/>
      <c r="C160" s="24"/>
      <c r="D160" s="24"/>
      <c r="E160" s="24"/>
      <c r="F160" s="24"/>
      <c r="G160" s="24"/>
      <c r="H160" s="24"/>
      <c r="I160" s="24"/>
      <c r="J160" s="24"/>
      <c r="K160" s="24"/>
      <c r="L160" s="24"/>
      <c r="M160" s="24"/>
      <c r="N160" s="24"/>
      <c r="O160" s="24"/>
      <c r="P160" s="24"/>
      <c r="Q160" s="24"/>
      <c r="R160" s="24"/>
      <c r="S160" s="24"/>
      <c r="T160" s="24"/>
      <c r="U160" s="24"/>
      <c r="V160" s="24"/>
      <c r="W160" s="24"/>
      <c r="X160" s="26"/>
      <c r="Y160" s="26"/>
      <c r="Z160" s="26"/>
      <c r="AA160" s="26"/>
      <c r="AB160" s="26"/>
      <c r="AC160" s="26"/>
      <c r="AD160" s="26"/>
      <c r="AE160" s="26"/>
      <c r="AF160" s="26"/>
      <c r="AG160" s="26"/>
      <c r="AH160" s="26"/>
      <c r="AI160" s="26"/>
    </row>
    <row r="161" spans="2:35" x14ac:dyDescent="0.35">
      <c r="B161" s="24"/>
      <c r="C161" s="24"/>
      <c r="D161" s="24"/>
      <c r="E161" s="24"/>
      <c r="F161" s="24"/>
      <c r="G161" s="24"/>
      <c r="H161" s="24"/>
      <c r="I161" s="24"/>
      <c r="J161" s="24"/>
      <c r="K161" s="24"/>
      <c r="L161" s="24"/>
      <c r="M161" s="24"/>
      <c r="N161" s="24"/>
      <c r="O161" s="24"/>
      <c r="P161" s="24"/>
      <c r="Q161" s="24"/>
      <c r="R161" s="24"/>
      <c r="S161" s="24"/>
      <c r="T161" s="24"/>
      <c r="U161" s="24"/>
      <c r="V161" s="24"/>
      <c r="W161" s="24"/>
      <c r="X161" s="26"/>
      <c r="Y161" s="26"/>
      <c r="Z161" s="26"/>
      <c r="AA161" s="26"/>
      <c r="AB161" s="26"/>
      <c r="AC161" s="26"/>
      <c r="AD161" s="26"/>
      <c r="AE161" s="26"/>
      <c r="AF161" s="26"/>
      <c r="AG161" s="26"/>
      <c r="AH161" s="26"/>
      <c r="AI161" s="26"/>
    </row>
    <row r="162" spans="2:35" x14ac:dyDescent="0.35">
      <c r="B162" s="24"/>
      <c r="C162" s="24"/>
      <c r="D162" s="24"/>
      <c r="E162" s="24"/>
      <c r="F162" s="24"/>
      <c r="G162" s="24"/>
      <c r="H162" s="24"/>
      <c r="I162" s="24"/>
      <c r="J162" s="24"/>
      <c r="K162" s="24"/>
      <c r="L162" s="24"/>
      <c r="M162" s="24"/>
      <c r="N162" s="24"/>
      <c r="O162" s="24"/>
      <c r="P162" s="24"/>
      <c r="Q162" s="24"/>
      <c r="R162" s="24"/>
      <c r="S162" s="24"/>
      <c r="T162" s="24"/>
      <c r="U162" s="24"/>
      <c r="V162" s="24"/>
      <c r="W162" s="24"/>
      <c r="X162" s="26"/>
      <c r="Y162" s="26"/>
      <c r="Z162" s="26"/>
      <c r="AA162" s="26"/>
      <c r="AB162" s="26"/>
      <c r="AC162" s="26"/>
      <c r="AD162" s="26"/>
      <c r="AE162" s="26"/>
      <c r="AF162" s="26"/>
      <c r="AG162" s="26"/>
      <c r="AH162" s="26"/>
      <c r="AI162" s="26"/>
    </row>
    <row r="163" spans="2:35" x14ac:dyDescent="0.35">
      <c r="B163" s="24"/>
      <c r="C163" s="24"/>
      <c r="D163" s="24"/>
      <c r="E163" s="24"/>
      <c r="F163" s="24"/>
      <c r="G163" s="24"/>
      <c r="H163" s="24"/>
      <c r="I163" s="24"/>
      <c r="J163" s="24"/>
      <c r="K163" s="24"/>
      <c r="L163" s="24"/>
      <c r="M163" s="24"/>
      <c r="N163" s="24"/>
      <c r="O163" s="24"/>
      <c r="P163" s="24"/>
      <c r="Q163" s="24"/>
      <c r="R163" s="24"/>
      <c r="S163" s="24"/>
      <c r="T163" s="24"/>
      <c r="U163" s="24"/>
      <c r="V163" s="24"/>
      <c r="W163" s="24"/>
      <c r="X163" s="26"/>
      <c r="Y163" s="26"/>
      <c r="Z163" s="26"/>
      <c r="AA163" s="26"/>
      <c r="AB163" s="26"/>
      <c r="AC163" s="26"/>
      <c r="AD163" s="26"/>
      <c r="AE163" s="26"/>
      <c r="AF163" s="26"/>
      <c r="AG163" s="26"/>
      <c r="AH163" s="26"/>
      <c r="AI163" s="26"/>
    </row>
    <row r="164" spans="2:35" x14ac:dyDescent="0.35">
      <c r="B164" s="24"/>
      <c r="C164" s="24"/>
      <c r="D164" s="24"/>
      <c r="E164" s="24"/>
      <c r="F164" s="24"/>
      <c r="G164" s="24"/>
      <c r="H164" s="24"/>
      <c r="I164" s="24"/>
      <c r="J164" s="24"/>
      <c r="K164" s="24"/>
      <c r="L164" s="24"/>
      <c r="M164" s="24"/>
      <c r="N164" s="24"/>
      <c r="O164" s="24"/>
      <c r="P164" s="24"/>
      <c r="Q164" s="24"/>
      <c r="R164" s="24"/>
      <c r="S164" s="24"/>
      <c r="T164" s="24"/>
      <c r="U164" s="24"/>
      <c r="V164" s="24"/>
      <c r="W164" s="24"/>
      <c r="X164" s="26"/>
      <c r="Y164" s="26"/>
      <c r="Z164" s="26"/>
      <c r="AA164" s="26"/>
      <c r="AB164" s="26"/>
      <c r="AC164" s="26"/>
      <c r="AD164" s="26"/>
      <c r="AE164" s="26"/>
      <c r="AF164" s="26"/>
      <c r="AG164" s="26"/>
      <c r="AH164" s="26"/>
      <c r="AI164" s="26"/>
    </row>
    <row r="165" spans="2:35" x14ac:dyDescent="0.35">
      <c r="B165" s="24"/>
      <c r="C165" s="24"/>
      <c r="D165" s="24"/>
      <c r="E165" s="24"/>
      <c r="F165" s="24"/>
      <c r="G165" s="24"/>
      <c r="H165" s="24"/>
      <c r="I165" s="24"/>
      <c r="J165" s="24"/>
      <c r="K165" s="24"/>
      <c r="L165" s="24"/>
      <c r="M165" s="24"/>
      <c r="N165" s="24"/>
      <c r="O165" s="24"/>
      <c r="P165" s="24"/>
      <c r="Q165" s="24"/>
      <c r="R165" s="24"/>
      <c r="S165" s="24"/>
      <c r="T165" s="24"/>
      <c r="U165" s="24"/>
      <c r="V165" s="24"/>
      <c r="W165" s="24"/>
      <c r="X165" s="26"/>
      <c r="Y165" s="26"/>
      <c r="Z165" s="26"/>
      <c r="AA165" s="26"/>
      <c r="AB165" s="26"/>
      <c r="AC165" s="26"/>
      <c r="AD165" s="26"/>
      <c r="AE165" s="26"/>
      <c r="AF165" s="26"/>
      <c r="AG165" s="26"/>
      <c r="AH165" s="26"/>
      <c r="AI165" s="26"/>
    </row>
    <row r="166" spans="2:35" x14ac:dyDescent="0.35">
      <c r="B166" s="24"/>
      <c r="C166" s="24"/>
      <c r="D166" s="24"/>
      <c r="E166" s="24"/>
      <c r="F166" s="24"/>
      <c r="G166" s="24"/>
      <c r="H166" s="24"/>
      <c r="I166" s="24"/>
      <c r="J166" s="24"/>
      <c r="K166" s="24"/>
      <c r="L166" s="24"/>
      <c r="M166" s="24"/>
      <c r="N166" s="24"/>
      <c r="O166" s="24"/>
      <c r="P166" s="24"/>
      <c r="Q166" s="24"/>
      <c r="R166" s="24"/>
      <c r="S166" s="24"/>
      <c r="T166" s="24"/>
      <c r="U166" s="24"/>
      <c r="V166" s="24"/>
      <c r="W166" s="24"/>
      <c r="X166" s="26"/>
      <c r="Y166" s="26"/>
      <c r="Z166" s="26"/>
      <c r="AA166" s="26"/>
      <c r="AB166" s="26"/>
      <c r="AC166" s="26"/>
      <c r="AD166" s="26"/>
      <c r="AE166" s="26"/>
      <c r="AF166" s="26"/>
      <c r="AG166" s="26"/>
      <c r="AH166" s="26"/>
      <c r="AI166" s="26"/>
    </row>
    <row r="167" spans="2:35" x14ac:dyDescent="0.35">
      <c r="B167" s="24"/>
      <c r="C167" s="24"/>
      <c r="D167" s="24"/>
      <c r="E167" s="24"/>
      <c r="F167" s="24"/>
      <c r="G167" s="24"/>
      <c r="H167" s="24"/>
      <c r="I167" s="24"/>
      <c r="J167" s="24"/>
      <c r="K167" s="24"/>
      <c r="L167" s="24"/>
      <c r="M167" s="24"/>
      <c r="N167" s="24"/>
      <c r="O167" s="24"/>
      <c r="P167" s="24"/>
      <c r="Q167" s="24"/>
      <c r="R167" s="24"/>
      <c r="S167" s="24"/>
      <c r="T167" s="24"/>
      <c r="U167" s="24"/>
      <c r="V167" s="24"/>
      <c r="W167" s="24"/>
      <c r="X167" s="26"/>
      <c r="Y167" s="26"/>
      <c r="Z167" s="26"/>
      <c r="AA167" s="26"/>
      <c r="AB167" s="26"/>
      <c r="AC167" s="26"/>
      <c r="AD167" s="26"/>
      <c r="AE167" s="26"/>
      <c r="AF167" s="26"/>
      <c r="AG167" s="26"/>
      <c r="AH167" s="26"/>
      <c r="AI167" s="26"/>
    </row>
    <row r="168" spans="2:35" x14ac:dyDescent="0.35">
      <c r="B168" s="24"/>
      <c r="C168" s="24"/>
      <c r="D168" s="24"/>
      <c r="E168" s="24"/>
      <c r="F168" s="24"/>
      <c r="G168" s="24"/>
      <c r="H168" s="24"/>
      <c r="I168" s="24"/>
      <c r="J168" s="24"/>
      <c r="K168" s="24"/>
      <c r="L168" s="24"/>
      <c r="M168" s="24"/>
      <c r="N168" s="24"/>
      <c r="O168" s="24"/>
      <c r="P168" s="24"/>
      <c r="Q168" s="24"/>
      <c r="R168" s="24"/>
      <c r="S168" s="24"/>
      <c r="T168" s="24"/>
      <c r="U168" s="24"/>
      <c r="V168" s="24"/>
      <c r="W168" s="24"/>
      <c r="X168" s="26"/>
      <c r="Y168" s="26"/>
      <c r="Z168" s="26"/>
      <c r="AA168" s="26"/>
      <c r="AB168" s="26"/>
      <c r="AC168" s="26"/>
      <c r="AD168" s="26"/>
      <c r="AE168" s="26"/>
      <c r="AF168" s="26"/>
      <c r="AG168" s="26"/>
      <c r="AH168" s="26"/>
      <c r="AI168" s="26"/>
    </row>
    <row r="169" spans="2:35" x14ac:dyDescent="0.35">
      <c r="B169" s="24"/>
      <c r="C169" s="24"/>
      <c r="D169" s="24"/>
      <c r="E169" s="24"/>
      <c r="F169" s="24"/>
      <c r="G169" s="24"/>
      <c r="H169" s="24"/>
      <c r="I169" s="24"/>
      <c r="J169" s="24"/>
      <c r="K169" s="24"/>
      <c r="L169" s="24"/>
      <c r="M169" s="24"/>
      <c r="N169" s="24"/>
      <c r="O169" s="24"/>
      <c r="P169" s="24"/>
      <c r="Q169" s="24"/>
      <c r="R169" s="24"/>
      <c r="S169" s="24"/>
      <c r="T169" s="24"/>
      <c r="U169" s="24"/>
      <c r="V169" s="24"/>
      <c r="W169" s="24"/>
      <c r="X169" s="26"/>
      <c r="Y169" s="26"/>
      <c r="Z169" s="26"/>
      <c r="AA169" s="26"/>
      <c r="AB169" s="26"/>
      <c r="AC169" s="26"/>
      <c r="AD169" s="26"/>
      <c r="AE169" s="26"/>
      <c r="AF169" s="26"/>
      <c r="AG169" s="26"/>
      <c r="AH169" s="26"/>
      <c r="AI169" s="26"/>
    </row>
    <row r="170" spans="2:35" x14ac:dyDescent="0.35">
      <c r="B170" s="24"/>
      <c r="C170" s="24"/>
      <c r="D170" s="24"/>
      <c r="E170" s="24"/>
      <c r="F170" s="24"/>
      <c r="G170" s="24"/>
      <c r="H170" s="24"/>
      <c r="I170" s="24"/>
      <c r="J170" s="24"/>
      <c r="K170" s="24"/>
      <c r="L170" s="24"/>
      <c r="M170" s="24"/>
      <c r="N170" s="24"/>
      <c r="O170" s="24"/>
      <c r="P170" s="24"/>
      <c r="Q170" s="24"/>
      <c r="R170" s="24"/>
      <c r="S170" s="24"/>
      <c r="T170" s="24"/>
      <c r="U170" s="24"/>
      <c r="V170" s="24"/>
      <c r="W170" s="24"/>
      <c r="X170" s="26"/>
      <c r="Y170" s="26"/>
      <c r="Z170" s="26"/>
      <c r="AA170" s="26"/>
      <c r="AB170" s="26"/>
      <c r="AC170" s="26"/>
      <c r="AD170" s="26"/>
      <c r="AE170" s="26"/>
      <c r="AF170" s="26"/>
      <c r="AG170" s="26"/>
      <c r="AH170" s="26"/>
      <c r="AI170" s="26"/>
    </row>
    <row r="171" spans="2:35" x14ac:dyDescent="0.35">
      <c r="B171" s="24"/>
      <c r="C171" s="24"/>
      <c r="D171" s="24"/>
      <c r="E171" s="24"/>
      <c r="F171" s="24"/>
      <c r="G171" s="24"/>
      <c r="H171" s="24"/>
      <c r="I171" s="24"/>
      <c r="J171" s="24"/>
      <c r="K171" s="24"/>
      <c r="L171" s="24"/>
      <c r="M171" s="24"/>
      <c r="N171" s="24"/>
      <c r="O171" s="24"/>
      <c r="P171" s="24"/>
      <c r="Q171" s="24"/>
      <c r="R171" s="24"/>
      <c r="S171" s="24"/>
      <c r="T171" s="24"/>
      <c r="U171" s="24"/>
      <c r="V171" s="24"/>
      <c r="W171" s="24"/>
      <c r="X171" s="26"/>
      <c r="Y171" s="26"/>
      <c r="Z171" s="26"/>
      <c r="AA171" s="26"/>
      <c r="AB171" s="26"/>
      <c r="AC171" s="26"/>
      <c r="AD171" s="26"/>
      <c r="AE171" s="26"/>
      <c r="AF171" s="26"/>
      <c r="AG171" s="26"/>
      <c r="AH171" s="26"/>
      <c r="AI171" s="26"/>
    </row>
    <row r="172" spans="2:35" x14ac:dyDescent="0.35">
      <c r="B172" s="24"/>
      <c r="C172" s="24"/>
      <c r="D172" s="24"/>
      <c r="E172" s="24"/>
      <c r="F172" s="24"/>
      <c r="G172" s="24"/>
      <c r="H172" s="24"/>
      <c r="I172" s="24"/>
      <c r="J172" s="24"/>
      <c r="K172" s="24"/>
      <c r="L172" s="24"/>
      <c r="M172" s="24"/>
      <c r="N172" s="24"/>
      <c r="O172" s="24"/>
      <c r="P172" s="24"/>
      <c r="Q172" s="24"/>
      <c r="R172" s="24"/>
      <c r="S172" s="24"/>
      <c r="T172" s="24"/>
      <c r="U172" s="24"/>
      <c r="V172" s="24"/>
      <c r="W172" s="24"/>
      <c r="X172" s="26"/>
      <c r="Y172" s="26"/>
      <c r="Z172" s="26"/>
      <c r="AA172" s="26"/>
      <c r="AB172" s="26"/>
      <c r="AC172" s="26"/>
      <c r="AD172" s="26"/>
      <c r="AE172" s="26"/>
      <c r="AF172" s="26"/>
      <c r="AG172" s="26"/>
      <c r="AH172" s="26"/>
      <c r="AI172" s="26"/>
    </row>
    <row r="173" spans="2:35" x14ac:dyDescent="0.35">
      <c r="B173" s="24"/>
      <c r="C173" s="24"/>
      <c r="D173" s="24"/>
      <c r="E173" s="24"/>
      <c r="F173" s="24"/>
      <c r="G173" s="24"/>
      <c r="H173" s="24"/>
      <c r="I173" s="24"/>
      <c r="J173" s="24"/>
      <c r="K173" s="24"/>
      <c r="L173" s="24"/>
      <c r="M173" s="24"/>
      <c r="N173" s="24"/>
      <c r="O173" s="24"/>
      <c r="P173" s="24"/>
      <c r="Q173" s="24"/>
      <c r="R173" s="24"/>
      <c r="S173" s="24"/>
      <c r="T173" s="24"/>
      <c r="U173" s="24"/>
      <c r="V173" s="24"/>
      <c r="W173" s="24"/>
      <c r="X173" s="26"/>
      <c r="Y173" s="26"/>
      <c r="Z173" s="26"/>
      <c r="AA173" s="26"/>
      <c r="AB173" s="26"/>
      <c r="AC173" s="26"/>
      <c r="AD173" s="26"/>
      <c r="AE173" s="26"/>
      <c r="AF173" s="26"/>
      <c r="AG173" s="26"/>
      <c r="AH173" s="26"/>
      <c r="AI173" s="26"/>
    </row>
    <row r="174" spans="2:35" x14ac:dyDescent="0.35">
      <c r="B174" s="24"/>
      <c r="C174" s="24"/>
      <c r="D174" s="24"/>
      <c r="E174" s="24"/>
      <c r="F174" s="24"/>
      <c r="G174" s="24"/>
      <c r="H174" s="24"/>
      <c r="I174" s="24"/>
      <c r="J174" s="24"/>
      <c r="K174" s="24"/>
      <c r="L174" s="24"/>
      <c r="M174" s="24"/>
      <c r="N174" s="24"/>
      <c r="O174" s="24"/>
      <c r="P174" s="24"/>
      <c r="Q174" s="24"/>
      <c r="R174" s="24"/>
      <c r="S174" s="24"/>
      <c r="T174" s="24"/>
      <c r="U174" s="24"/>
      <c r="V174" s="24"/>
      <c r="W174" s="24"/>
      <c r="X174" s="26"/>
      <c r="Y174" s="26"/>
      <c r="Z174" s="26"/>
      <c r="AA174" s="26"/>
      <c r="AB174" s="26"/>
      <c r="AC174" s="26"/>
      <c r="AD174" s="26"/>
      <c r="AE174" s="26"/>
      <c r="AF174" s="26"/>
      <c r="AG174" s="26"/>
      <c r="AH174" s="26"/>
      <c r="AI174" s="26"/>
    </row>
    <row r="175" spans="2:35" x14ac:dyDescent="0.35">
      <c r="B175" s="24"/>
      <c r="C175" s="24"/>
      <c r="D175" s="24"/>
      <c r="E175" s="24"/>
      <c r="F175" s="24"/>
      <c r="G175" s="24"/>
      <c r="H175" s="24"/>
      <c r="I175" s="24"/>
      <c r="J175" s="24"/>
      <c r="K175" s="24"/>
      <c r="L175" s="24"/>
      <c r="M175" s="24"/>
      <c r="N175" s="24"/>
      <c r="O175" s="24"/>
      <c r="P175" s="24"/>
      <c r="Q175" s="24"/>
      <c r="R175" s="24"/>
      <c r="S175" s="24"/>
      <c r="T175" s="24"/>
      <c r="U175" s="24"/>
      <c r="V175" s="24"/>
      <c r="W175" s="24"/>
      <c r="X175" s="26"/>
      <c r="Y175" s="26"/>
      <c r="Z175" s="26"/>
      <c r="AA175" s="26"/>
      <c r="AB175" s="26"/>
      <c r="AC175" s="26"/>
      <c r="AD175" s="26"/>
      <c r="AE175" s="26"/>
      <c r="AF175" s="26"/>
      <c r="AG175" s="26"/>
      <c r="AH175" s="26"/>
      <c r="AI175" s="26"/>
    </row>
    <row r="176" spans="2:35" x14ac:dyDescent="0.35">
      <c r="B176" s="24"/>
      <c r="C176" s="24"/>
      <c r="D176" s="24"/>
      <c r="E176" s="24"/>
      <c r="F176" s="24"/>
      <c r="G176" s="24"/>
      <c r="H176" s="24"/>
      <c r="I176" s="24"/>
      <c r="J176" s="24"/>
      <c r="K176" s="24"/>
      <c r="L176" s="24"/>
      <c r="M176" s="24"/>
      <c r="N176" s="24"/>
      <c r="O176" s="24"/>
      <c r="P176" s="24"/>
      <c r="Q176" s="24"/>
      <c r="R176" s="24"/>
      <c r="S176" s="24"/>
      <c r="T176" s="24"/>
      <c r="U176" s="24"/>
      <c r="V176" s="24"/>
      <c r="W176" s="24"/>
      <c r="X176" s="26"/>
      <c r="Y176" s="26"/>
      <c r="Z176" s="26"/>
      <c r="AA176" s="26"/>
      <c r="AB176" s="26"/>
      <c r="AC176" s="26"/>
      <c r="AD176" s="26"/>
      <c r="AE176" s="26"/>
      <c r="AF176" s="26"/>
      <c r="AG176" s="26"/>
      <c r="AH176" s="26"/>
      <c r="AI176" s="26"/>
    </row>
    <row r="177" spans="2:35" x14ac:dyDescent="0.35">
      <c r="B177" s="24"/>
      <c r="C177" s="24"/>
      <c r="D177" s="24"/>
      <c r="E177" s="24"/>
      <c r="F177" s="24"/>
      <c r="G177" s="24"/>
      <c r="H177" s="24"/>
      <c r="I177" s="24"/>
      <c r="J177" s="24"/>
      <c r="K177" s="24"/>
      <c r="L177" s="24"/>
      <c r="M177" s="24"/>
      <c r="N177" s="24"/>
      <c r="O177" s="24"/>
      <c r="P177" s="24"/>
      <c r="Q177" s="24"/>
      <c r="R177" s="24"/>
      <c r="S177" s="24"/>
      <c r="T177" s="24"/>
      <c r="U177" s="24"/>
      <c r="V177" s="24"/>
      <c r="W177" s="24"/>
      <c r="X177" s="26"/>
      <c r="Y177" s="26"/>
      <c r="Z177" s="26"/>
      <c r="AA177" s="26"/>
      <c r="AB177" s="26"/>
      <c r="AC177" s="26"/>
      <c r="AD177" s="26"/>
      <c r="AE177" s="26"/>
      <c r="AF177" s="26"/>
      <c r="AG177" s="26"/>
      <c r="AH177" s="26"/>
      <c r="AI177" s="26"/>
    </row>
    <row r="178" spans="2:35" x14ac:dyDescent="0.35">
      <c r="B178" s="24"/>
      <c r="C178" s="24"/>
      <c r="D178" s="24"/>
      <c r="E178" s="24"/>
      <c r="F178" s="24"/>
      <c r="G178" s="24"/>
      <c r="H178" s="24"/>
      <c r="I178" s="24"/>
      <c r="J178" s="24"/>
      <c r="K178" s="24"/>
      <c r="L178" s="24"/>
      <c r="M178" s="24"/>
      <c r="N178" s="24"/>
      <c r="O178" s="24"/>
      <c r="P178" s="24"/>
      <c r="Q178" s="24"/>
      <c r="R178" s="24"/>
      <c r="S178" s="24"/>
      <c r="T178" s="24"/>
      <c r="U178" s="24"/>
      <c r="V178" s="24"/>
      <c r="W178" s="24"/>
      <c r="X178" s="26"/>
      <c r="Y178" s="26"/>
      <c r="Z178" s="26"/>
      <c r="AA178" s="26"/>
      <c r="AB178" s="26"/>
      <c r="AC178" s="26"/>
      <c r="AD178" s="26"/>
      <c r="AE178" s="26"/>
      <c r="AF178" s="26"/>
      <c r="AG178" s="26"/>
      <c r="AH178" s="26"/>
      <c r="AI178" s="26"/>
    </row>
    <row r="179" spans="2:35" x14ac:dyDescent="0.35">
      <c r="B179" s="24"/>
      <c r="C179" s="24"/>
      <c r="D179" s="24"/>
      <c r="E179" s="24"/>
      <c r="F179" s="24"/>
      <c r="G179" s="24"/>
      <c r="H179" s="24"/>
      <c r="I179" s="24"/>
      <c r="J179" s="24"/>
      <c r="K179" s="24"/>
      <c r="L179" s="24"/>
      <c r="M179" s="24"/>
      <c r="N179" s="24"/>
      <c r="O179" s="24"/>
      <c r="P179" s="24"/>
      <c r="Q179" s="24"/>
      <c r="R179" s="24"/>
      <c r="S179" s="24"/>
      <c r="T179" s="24"/>
      <c r="U179" s="24"/>
      <c r="V179" s="24"/>
      <c r="W179" s="24"/>
      <c r="X179" s="26"/>
      <c r="Y179" s="26"/>
      <c r="Z179" s="26"/>
      <c r="AA179" s="26"/>
      <c r="AB179" s="26"/>
      <c r="AC179" s="26"/>
      <c r="AD179" s="26"/>
      <c r="AE179" s="26"/>
      <c r="AF179" s="26"/>
      <c r="AG179" s="26"/>
      <c r="AH179" s="26"/>
      <c r="AI179" s="26"/>
    </row>
    <row r="180" spans="2:35" x14ac:dyDescent="0.35">
      <c r="B180" s="24"/>
      <c r="C180" s="24"/>
      <c r="D180" s="24"/>
      <c r="E180" s="24"/>
      <c r="F180" s="24"/>
      <c r="G180" s="24"/>
      <c r="H180" s="24"/>
      <c r="I180" s="24"/>
      <c r="J180" s="24"/>
      <c r="K180" s="24"/>
      <c r="L180" s="24"/>
      <c r="M180" s="24"/>
      <c r="N180" s="24"/>
      <c r="O180" s="24"/>
      <c r="P180" s="24"/>
      <c r="Q180" s="24"/>
      <c r="R180" s="24"/>
      <c r="S180" s="24"/>
      <c r="T180" s="24"/>
      <c r="U180" s="24"/>
      <c r="V180" s="24"/>
      <c r="W180" s="24"/>
      <c r="X180" s="26"/>
      <c r="Y180" s="26"/>
      <c r="Z180" s="26"/>
      <c r="AA180" s="26"/>
      <c r="AB180" s="26"/>
      <c r="AC180" s="26"/>
      <c r="AD180" s="26"/>
      <c r="AE180" s="26"/>
      <c r="AF180" s="26"/>
      <c r="AG180" s="26"/>
      <c r="AH180" s="26"/>
      <c r="AI180" s="26"/>
    </row>
    <row r="181" spans="2:35" x14ac:dyDescent="0.35">
      <c r="B181" s="24"/>
      <c r="C181" s="24"/>
      <c r="D181" s="24"/>
      <c r="E181" s="24"/>
      <c r="F181" s="24"/>
      <c r="G181" s="24"/>
      <c r="H181" s="24"/>
      <c r="I181" s="24"/>
      <c r="J181" s="24"/>
      <c r="K181" s="24"/>
      <c r="L181" s="24"/>
      <c r="M181" s="24"/>
      <c r="N181" s="24"/>
      <c r="O181" s="24"/>
      <c r="P181" s="24"/>
      <c r="Q181" s="24"/>
      <c r="R181" s="24"/>
      <c r="S181" s="24"/>
      <c r="T181" s="24"/>
      <c r="U181" s="24"/>
      <c r="V181" s="24"/>
      <c r="W181" s="24"/>
      <c r="X181" s="26"/>
      <c r="Y181" s="26"/>
      <c r="Z181" s="26"/>
      <c r="AA181" s="26"/>
      <c r="AB181" s="26"/>
      <c r="AC181" s="26"/>
      <c r="AD181" s="26"/>
      <c r="AE181" s="26"/>
      <c r="AF181" s="26"/>
      <c r="AG181" s="26"/>
      <c r="AH181" s="26"/>
      <c r="AI181" s="26"/>
    </row>
    <row r="182" spans="2:35" x14ac:dyDescent="0.35">
      <c r="B182" s="24"/>
      <c r="C182" s="24"/>
      <c r="D182" s="24"/>
      <c r="E182" s="24"/>
      <c r="F182" s="24"/>
      <c r="G182" s="24"/>
      <c r="H182" s="24"/>
      <c r="I182" s="24"/>
      <c r="J182" s="24"/>
      <c r="K182" s="24"/>
      <c r="L182" s="24"/>
      <c r="M182" s="24"/>
      <c r="N182" s="24"/>
      <c r="O182" s="24"/>
      <c r="P182" s="24"/>
      <c r="Q182" s="24"/>
      <c r="R182" s="24"/>
      <c r="S182" s="24"/>
      <c r="T182" s="24"/>
      <c r="U182" s="24"/>
      <c r="V182" s="24"/>
      <c r="W182" s="24"/>
      <c r="X182" s="26"/>
      <c r="Y182" s="26"/>
      <c r="Z182" s="26"/>
      <c r="AA182" s="26"/>
      <c r="AB182" s="26"/>
      <c r="AC182" s="26"/>
      <c r="AD182" s="26"/>
      <c r="AE182" s="26"/>
      <c r="AF182" s="26"/>
      <c r="AG182" s="26"/>
      <c r="AH182" s="26"/>
      <c r="AI182" s="26"/>
    </row>
    <row r="183" spans="2:35" x14ac:dyDescent="0.35">
      <c r="B183" s="24"/>
      <c r="C183" s="24"/>
      <c r="D183" s="24"/>
      <c r="E183" s="24"/>
      <c r="F183" s="24"/>
      <c r="G183" s="24"/>
      <c r="H183" s="24"/>
      <c r="I183" s="24"/>
      <c r="J183" s="24"/>
      <c r="K183" s="24"/>
      <c r="L183" s="24"/>
      <c r="M183" s="24"/>
      <c r="N183" s="24"/>
      <c r="O183" s="24"/>
      <c r="P183" s="24"/>
      <c r="Q183" s="24"/>
      <c r="R183" s="24"/>
      <c r="S183" s="24"/>
      <c r="T183" s="24"/>
      <c r="U183" s="24"/>
      <c r="V183" s="24"/>
      <c r="W183" s="24"/>
      <c r="X183" s="26"/>
      <c r="Y183" s="26"/>
      <c r="Z183" s="26"/>
      <c r="AA183" s="26"/>
      <c r="AB183" s="26"/>
      <c r="AC183" s="26"/>
      <c r="AD183" s="26"/>
      <c r="AE183" s="26"/>
      <c r="AF183" s="26"/>
      <c r="AG183" s="26"/>
      <c r="AH183" s="26"/>
      <c r="AI183" s="26"/>
    </row>
    <row r="184" spans="2:35" x14ac:dyDescent="0.35">
      <c r="B184" s="24"/>
      <c r="C184" s="24"/>
      <c r="D184" s="24"/>
      <c r="E184" s="24"/>
      <c r="F184" s="24"/>
      <c r="G184" s="24"/>
      <c r="H184" s="24"/>
      <c r="I184" s="24"/>
      <c r="J184" s="24"/>
      <c r="K184" s="24"/>
      <c r="L184" s="24"/>
      <c r="M184" s="24"/>
      <c r="N184" s="24"/>
      <c r="O184" s="24"/>
      <c r="P184" s="24"/>
      <c r="Q184" s="24"/>
      <c r="R184" s="24"/>
      <c r="S184" s="24"/>
      <c r="T184" s="24"/>
      <c r="U184" s="24"/>
      <c r="V184" s="24"/>
      <c r="W184" s="24"/>
      <c r="X184" s="26"/>
      <c r="Y184" s="26"/>
      <c r="Z184" s="26"/>
      <c r="AA184" s="26"/>
      <c r="AB184" s="26"/>
      <c r="AC184" s="26"/>
      <c r="AD184" s="26"/>
      <c r="AE184" s="26"/>
      <c r="AF184" s="26"/>
      <c r="AG184" s="26"/>
      <c r="AH184" s="26"/>
      <c r="AI184" s="26"/>
    </row>
    <row r="185" spans="2:35" x14ac:dyDescent="0.35">
      <c r="B185" s="24"/>
      <c r="C185" s="24"/>
      <c r="D185" s="24"/>
      <c r="E185" s="24"/>
      <c r="F185" s="24"/>
      <c r="G185" s="24"/>
      <c r="H185" s="24"/>
      <c r="I185" s="24"/>
      <c r="J185" s="24"/>
      <c r="K185" s="24"/>
      <c r="L185" s="24"/>
      <c r="M185" s="24"/>
      <c r="N185" s="24"/>
      <c r="O185" s="24"/>
      <c r="P185" s="24"/>
      <c r="Q185" s="24"/>
      <c r="R185" s="24"/>
      <c r="S185" s="24"/>
      <c r="T185" s="24"/>
      <c r="U185" s="24"/>
      <c r="V185" s="24"/>
      <c r="W185" s="24"/>
      <c r="X185" s="26"/>
      <c r="Y185" s="26"/>
      <c r="Z185" s="26"/>
      <c r="AA185" s="26"/>
      <c r="AB185" s="26"/>
      <c r="AC185" s="26"/>
      <c r="AD185" s="26"/>
      <c r="AE185" s="26"/>
      <c r="AF185" s="26"/>
      <c r="AG185" s="26"/>
      <c r="AH185" s="26"/>
      <c r="AI185" s="26"/>
    </row>
    <row r="186" spans="2:35" x14ac:dyDescent="0.35">
      <c r="B186" s="24"/>
      <c r="C186" s="24"/>
      <c r="D186" s="24"/>
      <c r="E186" s="24"/>
      <c r="F186" s="24"/>
      <c r="G186" s="24"/>
      <c r="H186" s="24"/>
      <c r="I186" s="24"/>
      <c r="J186" s="24"/>
      <c r="K186" s="24"/>
      <c r="L186" s="24"/>
      <c r="M186" s="24"/>
      <c r="N186" s="24"/>
      <c r="O186" s="24"/>
      <c r="P186" s="24"/>
      <c r="Q186" s="24"/>
      <c r="R186" s="24"/>
      <c r="S186" s="24"/>
      <c r="T186" s="24"/>
      <c r="U186" s="24"/>
      <c r="V186" s="24"/>
      <c r="W186" s="24"/>
      <c r="X186" s="26"/>
      <c r="Y186" s="26"/>
      <c r="Z186" s="26"/>
      <c r="AA186" s="26"/>
      <c r="AB186" s="26"/>
      <c r="AC186" s="26"/>
      <c r="AD186" s="26"/>
      <c r="AE186" s="26"/>
      <c r="AF186" s="26"/>
      <c r="AG186" s="26"/>
      <c r="AH186" s="26"/>
      <c r="AI186" s="26"/>
    </row>
    <row r="187" spans="2:35" x14ac:dyDescent="0.35">
      <c r="B187" s="24"/>
      <c r="C187" s="24"/>
      <c r="D187" s="24"/>
      <c r="E187" s="24"/>
      <c r="F187" s="24"/>
      <c r="G187" s="24"/>
      <c r="H187" s="24"/>
      <c r="I187" s="24"/>
      <c r="J187" s="24"/>
      <c r="K187" s="24"/>
      <c r="L187" s="24"/>
      <c r="M187" s="24"/>
      <c r="N187" s="24"/>
      <c r="O187" s="24"/>
      <c r="P187" s="24"/>
      <c r="Q187" s="24"/>
      <c r="R187" s="24"/>
      <c r="S187" s="24"/>
      <c r="T187" s="24"/>
      <c r="U187" s="24"/>
      <c r="V187" s="24"/>
      <c r="W187" s="24"/>
      <c r="X187" s="26"/>
      <c r="Y187" s="26"/>
      <c r="Z187" s="26"/>
      <c r="AA187" s="26"/>
      <c r="AB187" s="26"/>
      <c r="AC187" s="26"/>
      <c r="AD187" s="26"/>
      <c r="AE187" s="26"/>
      <c r="AF187" s="26"/>
      <c r="AG187" s="26"/>
      <c r="AH187" s="26"/>
      <c r="AI187" s="26"/>
    </row>
    <row r="188" spans="2:35" x14ac:dyDescent="0.35">
      <c r="B188" s="24"/>
      <c r="C188" s="24"/>
      <c r="D188" s="24"/>
      <c r="E188" s="24"/>
      <c r="F188" s="24"/>
      <c r="G188" s="24"/>
      <c r="H188" s="24"/>
      <c r="I188" s="24"/>
      <c r="J188" s="24"/>
      <c r="K188" s="24"/>
      <c r="L188" s="24"/>
      <c r="M188" s="24"/>
      <c r="N188" s="24"/>
      <c r="O188" s="24"/>
      <c r="P188" s="24"/>
      <c r="Q188" s="24"/>
      <c r="R188" s="24"/>
      <c r="S188" s="24"/>
      <c r="T188" s="24"/>
      <c r="U188" s="24"/>
      <c r="V188" s="24"/>
      <c r="W188" s="24"/>
      <c r="X188" s="26"/>
      <c r="Y188" s="26"/>
      <c r="Z188" s="26"/>
      <c r="AA188" s="26"/>
      <c r="AB188" s="26"/>
      <c r="AC188" s="26"/>
      <c r="AD188" s="26"/>
      <c r="AE188" s="26"/>
      <c r="AF188" s="26"/>
      <c r="AG188" s="26"/>
      <c r="AH188" s="26"/>
      <c r="AI188" s="26"/>
    </row>
    <row r="189" spans="2:35" x14ac:dyDescent="0.35">
      <c r="B189" s="24"/>
      <c r="C189" s="24"/>
      <c r="D189" s="24"/>
      <c r="E189" s="24"/>
      <c r="F189" s="24"/>
      <c r="G189" s="24"/>
      <c r="H189" s="24"/>
      <c r="I189" s="24"/>
      <c r="J189" s="24"/>
      <c r="K189" s="24"/>
      <c r="L189" s="24"/>
      <c r="M189" s="24"/>
      <c r="N189" s="24"/>
      <c r="O189" s="24"/>
      <c r="P189" s="24"/>
      <c r="Q189" s="24"/>
      <c r="R189" s="24"/>
      <c r="S189" s="24"/>
      <c r="T189" s="24"/>
      <c r="U189" s="24"/>
      <c r="V189" s="24"/>
      <c r="W189" s="24"/>
      <c r="X189" s="26"/>
      <c r="Y189" s="26"/>
      <c r="Z189" s="26"/>
      <c r="AA189" s="26"/>
      <c r="AB189" s="26"/>
      <c r="AC189" s="26"/>
      <c r="AD189" s="26"/>
      <c r="AE189" s="26"/>
      <c r="AF189" s="26"/>
      <c r="AG189" s="26"/>
      <c r="AH189" s="26"/>
      <c r="AI189" s="26"/>
    </row>
    <row r="190" spans="2:35" x14ac:dyDescent="0.35">
      <c r="B190" s="24"/>
      <c r="C190" s="24"/>
      <c r="D190" s="24"/>
      <c r="E190" s="24"/>
      <c r="F190" s="24"/>
      <c r="G190" s="24"/>
      <c r="H190" s="24"/>
      <c r="I190" s="24"/>
      <c r="J190" s="24"/>
      <c r="K190" s="24"/>
      <c r="L190" s="24"/>
      <c r="M190" s="24"/>
      <c r="N190" s="24"/>
      <c r="O190" s="24"/>
      <c r="P190" s="24"/>
      <c r="Q190" s="24"/>
      <c r="R190" s="24"/>
      <c r="S190" s="24"/>
      <c r="T190" s="24"/>
      <c r="U190" s="24"/>
      <c r="V190" s="24"/>
      <c r="W190" s="24"/>
      <c r="X190" s="26"/>
      <c r="Y190" s="26"/>
      <c r="Z190" s="26"/>
      <c r="AA190" s="26"/>
      <c r="AB190" s="26"/>
      <c r="AC190" s="26"/>
      <c r="AD190" s="26"/>
      <c r="AE190" s="26"/>
      <c r="AF190" s="26"/>
      <c r="AG190" s="26"/>
      <c r="AH190" s="26"/>
      <c r="AI190" s="26"/>
    </row>
    <row r="191" spans="2:35" x14ac:dyDescent="0.35">
      <c r="B191" s="24"/>
      <c r="C191" s="24"/>
      <c r="D191" s="24"/>
      <c r="E191" s="24"/>
      <c r="F191" s="24"/>
      <c r="G191" s="24"/>
      <c r="H191" s="24"/>
      <c r="I191" s="24"/>
      <c r="J191" s="24"/>
      <c r="K191" s="24"/>
      <c r="L191" s="24"/>
      <c r="M191" s="24"/>
      <c r="N191" s="24"/>
      <c r="O191" s="24"/>
      <c r="P191" s="24"/>
      <c r="Q191" s="24"/>
      <c r="R191" s="24"/>
      <c r="S191" s="24"/>
      <c r="T191" s="24"/>
      <c r="U191" s="24"/>
      <c r="V191" s="24"/>
      <c r="W191" s="24"/>
      <c r="X191" s="26"/>
      <c r="Y191" s="26"/>
      <c r="Z191" s="26"/>
      <c r="AA191" s="26"/>
      <c r="AB191" s="26"/>
      <c r="AC191" s="26"/>
      <c r="AD191" s="26"/>
      <c r="AE191" s="26"/>
      <c r="AF191" s="26"/>
      <c r="AG191" s="26"/>
      <c r="AH191" s="26"/>
      <c r="AI191" s="26"/>
    </row>
    <row r="192" spans="2:35" x14ac:dyDescent="0.35">
      <c r="B192" s="24"/>
      <c r="C192" s="24"/>
      <c r="D192" s="24"/>
      <c r="E192" s="24"/>
      <c r="F192" s="24"/>
      <c r="G192" s="24"/>
      <c r="H192" s="24"/>
      <c r="I192" s="24"/>
      <c r="J192" s="24"/>
      <c r="K192" s="24"/>
      <c r="L192" s="24"/>
      <c r="M192" s="24"/>
      <c r="N192" s="24"/>
      <c r="O192" s="24"/>
      <c r="P192" s="24"/>
      <c r="Q192" s="24"/>
      <c r="R192" s="24"/>
      <c r="S192" s="24"/>
      <c r="T192" s="24"/>
      <c r="U192" s="24"/>
      <c r="V192" s="24"/>
      <c r="W192" s="24"/>
      <c r="X192" s="26"/>
      <c r="Y192" s="26"/>
      <c r="Z192" s="26"/>
      <c r="AA192" s="26"/>
      <c r="AB192" s="26"/>
      <c r="AC192" s="26"/>
      <c r="AD192" s="26"/>
      <c r="AE192" s="26"/>
      <c r="AF192" s="26"/>
      <c r="AG192" s="26"/>
      <c r="AH192" s="26"/>
      <c r="AI192" s="26"/>
    </row>
    <row r="193" spans="2:35" x14ac:dyDescent="0.35">
      <c r="B193" s="24"/>
      <c r="C193" s="24"/>
      <c r="D193" s="24"/>
      <c r="E193" s="24"/>
      <c r="F193" s="24"/>
      <c r="G193" s="24"/>
      <c r="H193" s="24"/>
      <c r="I193" s="24"/>
      <c r="J193" s="24"/>
      <c r="K193" s="24"/>
      <c r="L193" s="24"/>
      <c r="M193" s="24"/>
      <c r="N193" s="24"/>
      <c r="O193" s="24"/>
      <c r="P193" s="24"/>
      <c r="Q193" s="24"/>
      <c r="R193" s="24"/>
      <c r="S193" s="24"/>
      <c r="T193" s="24"/>
      <c r="U193" s="24"/>
      <c r="V193" s="24"/>
      <c r="W193" s="24"/>
      <c r="X193" s="26"/>
      <c r="Y193" s="26"/>
      <c r="Z193" s="26"/>
      <c r="AA193" s="26"/>
      <c r="AB193" s="26"/>
      <c r="AC193" s="26"/>
      <c r="AD193" s="26"/>
      <c r="AE193" s="26"/>
      <c r="AF193" s="26"/>
      <c r="AG193" s="26"/>
      <c r="AH193" s="26"/>
      <c r="AI193" s="26"/>
    </row>
    <row r="194" spans="2:35" x14ac:dyDescent="0.35">
      <c r="B194" s="24"/>
      <c r="C194" s="24"/>
      <c r="D194" s="24"/>
      <c r="E194" s="24"/>
      <c r="F194" s="24"/>
      <c r="G194" s="24"/>
      <c r="H194" s="24"/>
      <c r="I194" s="24"/>
      <c r="J194" s="24"/>
      <c r="K194" s="24"/>
      <c r="L194" s="24"/>
      <c r="M194" s="24"/>
      <c r="N194" s="24"/>
      <c r="O194" s="24"/>
      <c r="P194" s="24"/>
      <c r="Q194" s="24"/>
      <c r="R194" s="24"/>
      <c r="S194" s="24"/>
      <c r="T194" s="24"/>
      <c r="U194" s="24"/>
      <c r="V194" s="24"/>
      <c r="W194" s="24"/>
      <c r="X194" s="26"/>
      <c r="Y194" s="26"/>
      <c r="Z194" s="26"/>
      <c r="AA194" s="26"/>
      <c r="AB194" s="26"/>
      <c r="AC194" s="26"/>
      <c r="AD194" s="26"/>
      <c r="AE194" s="26"/>
      <c r="AF194" s="26"/>
      <c r="AG194" s="26"/>
      <c r="AH194" s="26"/>
      <c r="AI194" s="26"/>
    </row>
    <row r="195" spans="2:35" x14ac:dyDescent="0.35">
      <c r="B195" s="24"/>
      <c r="C195" s="24"/>
      <c r="D195" s="24"/>
      <c r="E195" s="24"/>
      <c r="F195" s="24"/>
      <c r="G195" s="24"/>
      <c r="H195" s="24"/>
      <c r="I195" s="24"/>
      <c r="J195" s="24"/>
      <c r="K195" s="24"/>
      <c r="L195" s="24"/>
      <c r="M195" s="24"/>
      <c r="N195" s="24"/>
      <c r="O195" s="24"/>
      <c r="P195" s="24"/>
      <c r="Q195" s="24"/>
      <c r="R195" s="24"/>
      <c r="S195" s="24"/>
      <c r="T195" s="24"/>
      <c r="U195" s="24"/>
      <c r="V195" s="24"/>
      <c r="W195" s="24"/>
      <c r="X195" s="26"/>
      <c r="Y195" s="26"/>
      <c r="Z195" s="26"/>
      <c r="AA195" s="26"/>
      <c r="AB195" s="26"/>
      <c r="AC195" s="26"/>
      <c r="AD195" s="26"/>
      <c r="AE195" s="26"/>
      <c r="AF195" s="26"/>
      <c r="AG195" s="26"/>
      <c r="AH195" s="26"/>
      <c r="AI195" s="26"/>
    </row>
    <row r="196" spans="2:35" x14ac:dyDescent="0.35">
      <c r="B196" s="24"/>
      <c r="C196" s="24"/>
      <c r="D196" s="24"/>
      <c r="E196" s="24"/>
      <c r="F196" s="24"/>
      <c r="G196" s="24"/>
      <c r="H196" s="24"/>
      <c r="I196" s="24"/>
      <c r="J196" s="24"/>
      <c r="K196" s="24"/>
      <c r="L196" s="24"/>
      <c r="M196" s="24"/>
      <c r="N196" s="24"/>
      <c r="O196" s="24"/>
      <c r="P196" s="24"/>
      <c r="Q196" s="24"/>
      <c r="R196" s="24"/>
      <c r="S196" s="24"/>
      <c r="T196" s="24"/>
      <c r="U196" s="24"/>
      <c r="V196" s="24"/>
      <c r="W196" s="24"/>
      <c r="X196" s="26"/>
      <c r="Y196" s="26"/>
      <c r="Z196" s="26"/>
      <c r="AA196" s="26"/>
      <c r="AB196" s="26"/>
      <c r="AC196" s="26"/>
      <c r="AD196" s="26"/>
      <c r="AE196" s="26"/>
      <c r="AF196" s="26"/>
      <c r="AG196" s="26"/>
      <c r="AH196" s="26"/>
      <c r="AI196" s="26"/>
    </row>
    <row r="197" spans="2:35" x14ac:dyDescent="0.35">
      <c r="B197" s="24"/>
      <c r="C197" s="24"/>
      <c r="D197" s="24"/>
      <c r="E197" s="24"/>
      <c r="F197" s="24"/>
      <c r="G197" s="24"/>
      <c r="H197" s="24"/>
      <c r="I197" s="24"/>
      <c r="J197" s="24"/>
      <c r="K197" s="24"/>
      <c r="L197" s="24"/>
      <c r="M197" s="24"/>
      <c r="N197" s="24"/>
      <c r="O197" s="24"/>
      <c r="P197" s="24"/>
      <c r="Q197" s="24"/>
      <c r="R197" s="24"/>
      <c r="S197" s="24"/>
      <c r="T197" s="24"/>
      <c r="U197" s="24"/>
      <c r="V197" s="24"/>
      <c r="W197" s="24"/>
      <c r="X197" s="26"/>
      <c r="Y197" s="26"/>
      <c r="Z197" s="26"/>
      <c r="AA197" s="26"/>
      <c r="AB197" s="26"/>
      <c r="AC197" s="26"/>
      <c r="AD197" s="26"/>
      <c r="AE197" s="26"/>
      <c r="AF197" s="26"/>
      <c r="AG197" s="26"/>
      <c r="AH197" s="26"/>
      <c r="AI197" s="26"/>
    </row>
    <row r="198" spans="2:35" x14ac:dyDescent="0.35">
      <c r="B198" s="24"/>
      <c r="C198" s="24"/>
      <c r="D198" s="24"/>
      <c r="E198" s="24"/>
      <c r="F198" s="24"/>
      <c r="G198" s="24"/>
      <c r="H198" s="24"/>
      <c r="I198" s="24"/>
      <c r="J198" s="24"/>
      <c r="K198" s="24"/>
      <c r="L198" s="24"/>
      <c r="M198" s="24"/>
      <c r="N198" s="24"/>
      <c r="O198" s="24"/>
      <c r="P198" s="24"/>
      <c r="Q198" s="24"/>
      <c r="R198" s="24"/>
      <c r="S198" s="24"/>
      <c r="T198" s="24"/>
      <c r="U198" s="24"/>
      <c r="V198" s="24"/>
      <c r="W198" s="24"/>
      <c r="X198" s="26"/>
      <c r="Y198" s="26"/>
      <c r="Z198" s="26"/>
      <c r="AA198" s="26"/>
      <c r="AB198" s="26"/>
      <c r="AC198" s="26"/>
      <c r="AD198" s="26"/>
      <c r="AE198" s="26"/>
      <c r="AF198" s="26"/>
      <c r="AG198" s="26"/>
      <c r="AH198" s="26"/>
      <c r="AI198" s="26"/>
    </row>
    <row r="199" spans="2:35" x14ac:dyDescent="0.35">
      <c r="B199" s="24"/>
      <c r="C199" s="24"/>
      <c r="D199" s="24"/>
      <c r="E199" s="24"/>
      <c r="F199" s="24"/>
      <c r="G199" s="24"/>
      <c r="H199" s="24"/>
      <c r="I199" s="24"/>
      <c r="J199" s="24"/>
      <c r="K199" s="24"/>
      <c r="L199" s="24"/>
      <c r="M199" s="24"/>
      <c r="N199" s="24"/>
      <c r="O199" s="24"/>
      <c r="P199" s="24"/>
      <c r="Q199" s="24"/>
      <c r="R199" s="24"/>
      <c r="S199" s="24"/>
      <c r="T199" s="24"/>
      <c r="U199" s="24"/>
      <c r="V199" s="24"/>
      <c r="W199" s="24"/>
      <c r="X199" s="26"/>
      <c r="Y199" s="26"/>
      <c r="Z199" s="26"/>
      <c r="AA199" s="26"/>
      <c r="AB199" s="26"/>
      <c r="AC199" s="26"/>
      <c r="AD199" s="26"/>
      <c r="AE199" s="26"/>
      <c r="AF199" s="26"/>
      <c r="AG199" s="26"/>
      <c r="AH199" s="26"/>
      <c r="AI199" s="26"/>
    </row>
    <row r="200" spans="2:35" x14ac:dyDescent="0.35">
      <c r="B200" s="24"/>
      <c r="C200" s="24"/>
      <c r="D200" s="24"/>
      <c r="E200" s="24"/>
      <c r="F200" s="24"/>
      <c r="G200" s="24"/>
      <c r="H200" s="24"/>
      <c r="I200" s="24"/>
      <c r="J200" s="24"/>
      <c r="K200" s="24"/>
      <c r="L200" s="24"/>
      <c r="M200" s="24"/>
      <c r="N200" s="24"/>
      <c r="O200" s="24"/>
      <c r="P200" s="24"/>
      <c r="Q200" s="24"/>
      <c r="R200" s="24"/>
      <c r="S200" s="24"/>
      <c r="T200" s="24"/>
      <c r="U200" s="24"/>
      <c r="V200" s="24"/>
      <c r="W200" s="24"/>
      <c r="X200" s="26"/>
      <c r="Y200" s="26"/>
      <c r="Z200" s="26"/>
      <c r="AA200" s="26"/>
      <c r="AB200" s="26"/>
      <c r="AC200" s="26"/>
      <c r="AD200" s="26"/>
      <c r="AE200" s="26"/>
      <c r="AF200" s="26"/>
      <c r="AG200" s="26"/>
      <c r="AH200" s="26"/>
      <c r="AI200" s="26"/>
    </row>
    <row r="201" spans="2:35" x14ac:dyDescent="0.35">
      <c r="B201" s="24"/>
      <c r="C201" s="24"/>
      <c r="D201" s="24"/>
      <c r="E201" s="24"/>
      <c r="F201" s="24"/>
      <c r="G201" s="24"/>
      <c r="H201" s="24"/>
      <c r="I201" s="24"/>
      <c r="J201" s="24"/>
      <c r="K201" s="24"/>
      <c r="L201" s="24"/>
      <c r="M201" s="24"/>
      <c r="N201" s="24"/>
      <c r="O201" s="24"/>
      <c r="P201" s="24"/>
      <c r="Q201" s="24"/>
      <c r="R201" s="24"/>
      <c r="S201" s="24"/>
      <c r="T201" s="24"/>
      <c r="U201" s="24"/>
      <c r="V201" s="24"/>
      <c r="W201" s="24"/>
      <c r="X201" s="26"/>
      <c r="Y201" s="26"/>
      <c r="Z201" s="26"/>
      <c r="AA201" s="26"/>
      <c r="AB201" s="26"/>
      <c r="AC201" s="26"/>
      <c r="AD201" s="26"/>
      <c r="AE201" s="26"/>
      <c r="AF201" s="26"/>
      <c r="AG201" s="26"/>
      <c r="AH201" s="26"/>
      <c r="AI201" s="26"/>
    </row>
    <row r="202" spans="2:35" x14ac:dyDescent="0.35">
      <c r="B202" s="24"/>
      <c r="C202" s="24"/>
      <c r="D202" s="24"/>
      <c r="E202" s="24"/>
      <c r="F202" s="24"/>
      <c r="G202" s="24"/>
      <c r="H202" s="24"/>
      <c r="I202" s="24"/>
      <c r="J202" s="24"/>
      <c r="K202" s="24"/>
      <c r="L202" s="24"/>
      <c r="M202" s="24"/>
      <c r="N202" s="24"/>
      <c r="O202" s="24"/>
      <c r="P202" s="24"/>
      <c r="Q202" s="24"/>
      <c r="R202" s="24"/>
      <c r="S202" s="24"/>
      <c r="T202" s="24"/>
      <c r="U202" s="24"/>
      <c r="V202" s="24"/>
      <c r="W202" s="24"/>
      <c r="X202" s="26"/>
      <c r="Y202" s="26"/>
      <c r="Z202" s="26"/>
      <c r="AA202" s="26"/>
      <c r="AB202" s="26"/>
      <c r="AC202" s="26"/>
      <c r="AD202" s="26"/>
      <c r="AE202" s="26"/>
      <c r="AF202" s="26"/>
      <c r="AG202" s="26"/>
      <c r="AH202" s="26"/>
      <c r="AI202" s="26"/>
    </row>
    <row r="203" spans="2:35" x14ac:dyDescent="0.35">
      <c r="B203" s="24"/>
      <c r="C203" s="24"/>
      <c r="D203" s="24"/>
      <c r="E203" s="24"/>
      <c r="F203" s="24"/>
      <c r="G203" s="24"/>
      <c r="H203" s="24"/>
      <c r="I203" s="24"/>
      <c r="J203" s="24"/>
      <c r="K203" s="24"/>
      <c r="L203" s="24"/>
      <c r="M203" s="24"/>
      <c r="N203" s="24"/>
      <c r="O203" s="24"/>
      <c r="P203" s="24"/>
      <c r="Q203" s="24"/>
      <c r="R203" s="24"/>
      <c r="S203" s="24"/>
      <c r="T203" s="24"/>
      <c r="U203" s="24"/>
      <c r="V203" s="24"/>
      <c r="W203" s="24"/>
      <c r="X203" s="26"/>
      <c r="Y203" s="26"/>
      <c r="Z203" s="26"/>
      <c r="AA203" s="26"/>
      <c r="AB203" s="26"/>
      <c r="AC203" s="26"/>
      <c r="AD203" s="26"/>
      <c r="AE203" s="26"/>
      <c r="AF203" s="26"/>
      <c r="AG203" s="26"/>
      <c r="AH203" s="26"/>
      <c r="AI203" s="26"/>
    </row>
    <row r="204" spans="2:35" x14ac:dyDescent="0.35">
      <c r="B204" s="24"/>
      <c r="C204" s="24"/>
      <c r="D204" s="24"/>
      <c r="E204" s="24"/>
      <c r="F204" s="24"/>
      <c r="G204" s="24"/>
      <c r="H204" s="24"/>
      <c r="I204" s="24"/>
      <c r="J204" s="24"/>
      <c r="K204" s="24"/>
      <c r="L204" s="24"/>
      <c r="M204" s="24"/>
      <c r="N204" s="24"/>
      <c r="O204" s="24"/>
      <c r="P204" s="24"/>
      <c r="Q204" s="24"/>
      <c r="R204" s="24"/>
      <c r="S204" s="24"/>
      <c r="T204" s="24"/>
      <c r="U204" s="24"/>
      <c r="V204" s="24"/>
      <c r="W204" s="24"/>
      <c r="X204" s="26"/>
      <c r="Y204" s="26"/>
      <c r="Z204" s="26"/>
      <c r="AA204" s="26"/>
      <c r="AB204" s="26"/>
      <c r="AC204" s="26"/>
      <c r="AD204" s="26"/>
      <c r="AE204" s="26"/>
      <c r="AF204" s="26"/>
      <c r="AG204" s="26"/>
      <c r="AH204" s="26"/>
      <c r="AI204" s="26"/>
    </row>
    <row r="205" spans="2:35" x14ac:dyDescent="0.35">
      <c r="B205" s="24"/>
      <c r="C205" s="24"/>
      <c r="D205" s="24"/>
      <c r="E205" s="24"/>
      <c r="F205" s="24"/>
      <c r="G205" s="24"/>
      <c r="H205" s="24"/>
      <c r="I205" s="24"/>
      <c r="J205" s="24"/>
      <c r="K205" s="24"/>
      <c r="L205" s="24"/>
      <c r="M205" s="24"/>
      <c r="N205" s="24"/>
      <c r="O205" s="24"/>
      <c r="P205" s="24"/>
      <c r="Q205" s="24"/>
      <c r="R205" s="24"/>
      <c r="S205" s="24"/>
      <c r="T205" s="24"/>
      <c r="U205" s="24"/>
      <c r="V205" s="24"/>
      <c r="W205" s="24"/>
      <c r="X205" s="26"/>
      <c r="Y205" s="26"/>
      <c r="Z205" s="26"/>
      <c r="AA205" s="26"/>
      <c r="AB205" s="26"/>
      <c r="AC205" s="26"/>
      <c r="AD205" s="26"/>
      <c r="AE205" s="26"/>
      <c r="AF205" s="26"/>
      <c r="AG205" s="26"/>
      <c r="AH205" s="26"/>
      <c r="AI205" s="26"/>
    </row>
    <row r="206" spans="2:35" x14ac:dyDescent="0.35">
      <c r="B206" s="24"/>
      <c r="C206" s="24"/>
      <c r="D206" s="24"/>
      <c r="E206" s="24"/>
      <c r="F206" s="24"/>
      <c r="G206" s="24"/>
      <c r="H206" s="24"/>
      <c r="I206" s="24"/>
      <c r="J206" s="24"/>
      <c r="K206" s="24"/>
      <c r="L206" s="24"/>
      <c r="M206" s="24"/>
      <c r="N206" s="24"/>
      <c r="O206" s="24"/>
      <c r="P206" s="24"/>
      <c r="Q206" s="24"/>
      <c r="R206" s="24"/>
      <c r="S206" s="24"/>
      <c r="T206" s="24"/>
      <c r="U206" s="24"/>
      <c r="V206" s="24"/>
      <c r="W206" s="24"/>
      <c r="X206" s="26"/>
      <c r="Y206" s="26"/>
      <c r="Z206" s="26"/>
      <c r="AA206" s="26"/>
      <c r="AB206" s="26"/>
      <c r="AC206" s="26"/>
      <c r="AD206" s="26"/>
      <c r="AE206" s="26"/>
      <c r="AF206" s="26"/>
      <c r="AG206" s="26"/>
      <c r="AH206" s="26"/>
      <c r="AI206" s="26"/>
    </row>
    <row r="207" spans="2:35" x14ac:dyDescent="0.35">
      <c r="B207" s="24"/>
      <c r="C207" s="24"/>
      <c r="D207" s="24"/>
      <c r="E207" s="24"/>
      <c r="F207" s="24"/>
      <c r="G207" s="24"/>
      <c r="H207" s="24"/>
      <c r="I207" s="24"/>
      <c r="J207" s="24"/>
      <c r="K207" s="24"/>
      <c r="L207" s="24"/>
      <c r="M207" s="24"/>
      <c r="N207" s="24"/>
      <c r="O207" s="24"/>
      <c r="P207" s="24"/>
      <c r="Q207" s="24"/>
      <c r="R207" s="24"/>
      <c r="S207" s="24"/>
      <c r="T207" s="24"/>
      <c r="U207" s="24"/>
      <c r="V207" s="24"/>
      <c r="W207" s="24"/>
      <c r="X207" s="26"/>
      <c r="Y207" s="26"/>
      <c r="Z207" s="26"/>
      <c r="AA207" s="26"/>
      <c r="AB207" s="26"/>
      <c r="AC207" s="26"/>
      <c r="AD207" s="26"/>
      <c r="AE207" s="26"/>
      <c r="AF207" s="26"/>
      <c r="AG207" s="26"/>
      <c r="AH207" s="26"/>
      <c r="AI207" s="26"/>
    </row>
    <row r="208" spans="2:35" x14ac:dyDescent="0.35">
      <c r="B208" s="24"/>
      <c r="C208" s="24"/>
      <c r="D208" s="24"/>
      <c r="E208" s="24"/>
      <c r="F208" s="24"/>
      <c r="G208" s="24"/>
      <c r="H208" s="24"/>
      <c r="I208" s="24"/>
      <c r="J208" s="24"/>
      <c r="K208" s="24"/>
      <c r="L208" s="24"/>
      <c r="M208" s="24"/>
      <c r="N208" s="24"/>
      <c r="O208" s="24"/>
      <c r="P208" s="24"/>
      <c r="Q208" s="24"/>
      <c r="R208" s="24"/>
      <c r="S208" s="24"/>
      <c r="T208" s="24"/>
      <c r="U208" s="24"/>
      <c r="V208" s="24"/>
      <c r="W208" s="24"/>
      <c r="X208" s="26"/>
      <c r="Y208" s="26"/>
      <c r="Z208" s="26"/>
      <c r="AA208" s="26"/>
      <c r="AB208" s="26"/>
      <c r="AC208" s="26"/>
      <c r="AD208" s="26"/>
      <c r="AE208" s="26"/>
      <c r="AF208" s="26"/>
      <c r="AG208" s="26"/>
      <c r="AH208" s="26"/>
      <c r="AI208" s="26"/>
    </row>
    <row r="209" spans="2:35" x14ac:dyDescent="0.35">
      <c r="B209" s="24"/>
      <c r="C209" s="24"/>
      <c r="D209" s="24"/>
      <c r="E209" s="24"/>
      <c r="F209" s="24"/>
      <c r="G209" s="24"/>
      <c r="H209" s="24"/>
      <c r="I209" s="24"/>
      <c r="J209" s="24"/>
      <c r="K209" s="24"/>
      <c r="L209" s="24"/>
      <c r="M209" s="24"/>
      <c r="N209" s="24"/>
      <c r="O209" s="24"/>
      <c r="P209" s="24"/>
      <c r="Q209" s="24"/>
      <c r="R209" s="24"/>
      <c r="S209" s="24"/>
      <c r="T209" s="24"/>
      <c r="U209" s="24"/>
      <c r="V209" s="24"/>
      <c r="W209" s="24"/>
      <c r="X209" s="26"/>
      <c r="Y209" s="26"/>
      <c r="Z209" s="26"/>
      <c r="AA209" s="26"/>
      <c r="AB209" s="26"/>
      <c r="AC209" s="26"/>
      <c r="AD209" s="26"/>
      <c r="AE209" s="26"/>
      <c r="AF209" s="26"/>
      <c r="AG209" s="26"/>
      <c r="AH209" s="26"/>
      <c r="AI209" s="26"/>
    </row>
    <row r="210" spans="2:35" x14ac:dyDescent="0.35">
      <c r="B210" s="24"/>
      <c r="C210" s="24"/>
      <c r="D210" s="24"/>
      <c r="E210" s="24"/>
      <c r="F210" s="24"/>
      <c r="G210" s="24"/>
      <c r="H210" s="24"/>
      <c r="I210" s="24"/>
      <c r="J210" s="24"/>
      <c r="K210" s="24"/>
      <c r="L210" s="24"/>
      <c r="M210" s="24"/>
      <c r="N210" s="24"/>
      <c r="O210" s="24"/>
      <c r="P210" s="24"/>
      <c r="Q210" s="24"/>
      <c r="R210" s="24"/>
      <c r="S210" s="24"/>
      <c r="T210" s="24"/>
      <c r="U210" s="24"/>
      <c r="V210" s="24"/>
      <c r="W210" s="24"/>
      <c r="X210" s="26"/>
      <c r="Y210" s="26"/>
      <c r="Z210" s="26"/>
      <c r="AA210" s="26"/>
      <c r="AB210" s="26"/>
      <c r="AC210" s="26"/>
      <c r="AD210" s="26"/>
      <c r="AE210" s="26"/>
      <c r="AF210" s="26"/>
      <c r="AG210" s="26"/>
      <c r="AH210" s="26"/>
      <c r="AI210" s="26"/>
    </row>
    <row r="211" spans="2:35" x14ac:dyDescent="0.35">
      <c r="B211" s="24"/>
      <c r="C211" s="24"/>
      <c r="D211" s="24"/>
      <c r="E211" s="24"/>
      <c r="F211" s="24"/>
      <c r="G211" s="24"/>
      <c r="H211" s="24"/>
      <c r="I211" s="24"/>
      <c r="J211" s="24"/>
      <c r="K211" s="24"/>
      <c r="L211" s="24"/>
      <c r="M211" s="24"/>
      <c r="N211" s="24"/>
      <c r="O211" s="24"/>
      <c r="P211" s="24"/>
      <c r="Q211" s="24"/>
      <c r="R211" s="24"/>
      <c r="S211" s="24"/>
      <c r="T211" s="24"/>
      <c r="U211" s="24"/>
      <c r="V211" s="24"/>
      <c r="W211" s="24"/>
      <c r="X211" s="26"/>
      <c r="Y211" s="26"/>
      <c r="Z211" s="26"/>
      <c r="AA211" s="26"/>
      <c r="AB211" s="26"/>
      <c r="AC211" s="26"/>
      <c r="AD211" s="26"/>
      <c r="AE211" s="26"/>
      <c r="AF211" s="26"/>
      <c r="AG211" s="26"/>
      <c r="AH211" s="26"/>
      <c r="AI211" s="26"/>
    </row>
    <row r="212" spans="2:35" x14ac:dyDescent="0.35">
      <c r="B212" s="24"/>
      <c r="C212" s="24"/>
      <c r="D212" s="24"/>
      <c r="E212" s="24"/>
      <c r="F212" s="24"/>
      <c r="G212" s="24"/>
      <c r="H212" s="24"/>
      <c r="I212" s="24"/>
      <c r="J212" s="24"/>
      <c r="K212" s="24"/>
      <c r="L212" s="24"/>
      <c r="M212" s="24"/>
      <c r="N212" s="24"/>
      <c r="O212" s="24"/>
      <c r="P212" s="24"/>
      <c r="Q212" s="24"/>
      <c r="R212" s="24"/>
      <c r="S212" s="24"/>
      <c r="T212" s="24"/>
      <c r="U212" s="24"/>
      <c r="V212" s="24"/>
      <c r="W212" s="24"/>
      <c r="X212" s="26"/>
      <c r="Y212" s="26"/>
      <c r="Z212" s="26"/>
      <c r="AA212" s="26"/>
      <c r="AB212" s="26"/>
      <c r="AC212" s="26"/>
      <c r="AD212" s="26"/>
      <c r="AE212" s="26"/>
      <c r="AF212" s="26"/>
      <c r="AG212" s="26"/>
      <c r="AH212" s="26"/>
      <c r="AI212" s="26"/>
    </row>
    <row r="213" spans="2:35" x14ac:dyDescent="0.35">
      <c r="B213" s="24"/>
      <c r="C213" s="24"/>
      <c r="D213" s="24"/>
      <c r="E213" s="24"/>
      <c r="F213" s="24"/>
      <c r="G213" s="24"/>
      <c r="H213" s="24"/>
      <c r="I213" s="24"/>
      <c r="J213" s="24"/>
      <c r="K213" s="24"/>
      <c r="L213" s="24"/>
      <c r="M213" s="24"/>
      <c r="N213" s="24"/>
      <c r="O213" s="24"/>
      <c r="P213" s="24"/>
      <c r="Q213" s="24"/>
      <c r="R213" s="24"/>
      <c r="S213" s="24"/>
      <c r="T213" s="24"/>
      <c r="U213" s="24"/>
      <c r="V213" s="24"/>
      <c r="W213" s="24"/>
      <c r="X213" s="26"/>
      <c r="Y213" s="26"/>
      <c r="Z213" s="26"/>
      <c r="AA213" s="26"/>
      <c r="AB213" s="26"/>
      <c r="AC213" s="26"/>
      <c r="AD213" s="26"/>
      <c r="AE213" s="26"/>
      <c r="AF213" s="26"/>
      <c r="AG213" s="26"/>
      <c r="AH213" s="26"/>
      <c r="AI213" s="26"/>
    </row>
    <row r="214" spans="2:35" x14ac:dyDescent="0.35">
      <c r="B214" s="24"/>
      <c r="C214" s="24"/>
      <c r="D214" s="24"/>
      <c r="E214" s="24"/>
      <c r="F214" s="24"/>
      <c r="G214" s="24"/>
      <c r="H214" s="24"/>
      <c r="I214" s="24"/>
      <c r="J214" s="24"/>
      <c r="K214" s="24"/>
      <c r="L214" s="24"/>
      <c r="M214" s="24"/>
      <c r="N214" s="24"/>
      <c r="O214" s="24"/>
      <c r="P214" s="24"/>
      <c r="Q214" s="24"/>
      <c r="R214" s="24"/>
      <c r="S214" s="24"/>
      <c r="T214" s="24"/>
      <c r="U214" s="24"/>
      <c r="V214" s="24"/>
      <c r="W214" s="24"/>
      <c r="X214" s="26"/>
      <c r="Y214" s="26"/>
      <c r="Z214" s="26"/>
      <c r="AA214" s="26"/>
      <c r="AB214" s="26"/>
      <c r="AC214" s="26"/>
      <c r="AD214" s="26"/>
      <c r="AE214" s="26"/>
      <c r="AF214" s="26"/>
      <c r="AG214" s="26"/>
      <c r="AH214" s="26"/>
      <c r="AI214" s="26"/>
    </row>
    <row r="215" spans="2:35" x14ac:dyDescent="0.35">
      <c r="B215" s="24"/>
      <c r="C215" s="24"/>
      <c r="D215" s="24"/>
      <c r="E215" s="24"/>
      <c r="F215" s="24"/>
      <c r="G215" s="24"/>
      <c r="H215" s="24"/>
      <c r="I215" s="24"/>
      <c r="J215" s="24"/>
      <c r="K215" s="24"/>
      <c r="L215" s="24"/>
      <c r="M215" s="24"/>
      <c r="N215" s="24"/>
      <c r="O215" s="24"/>
      <c r="P215" s="24"/>
      <c r="Q215" s="24"/>
      <c r="R215" s="24"/>
      <c r="S215" s="24"/>
      <c r="T215" s="24"/>
      <c r="U215" s="24"/>
      <c r="V215" s="24"/>
      <c r="W215" s="24"/>
      <c r="X215" s="26"/>
      <c r="Y215" s="26"/>
      <c r="Z215" s="26"/>
      <c r="AA215" s="26"/>
      <c r="AB215" s="26"/>
      <c r="AC215" s="26"/>
      <c r="AD215" s="26"/>
      <c r="AE215" s="26"/>
      <c r="AF215" s="26"/>
      <c r="AG215" s="26"/>
      <c r="AH215" s="26"/>
      <c r="AI215" s="26"/>
    </row>
    <row r="216" spans="2:35" x14ac:dyDescent="0.35">
      <c r="B216" s="24"/>
      <c r="C216" s="24"/>
      <c r="D216" s="24"/>
      <c r="E216" s="24"/>
      <c r="F216" s="24"/>
      <c r="G216" s="24"/>
      <c r="H216" s="24"/>
      <c r="I216" s="24"/>
      <c r="J216" s="24"/>
      <c r="K216" s="24"/>
      <c r="L216" s="24"/>
      <c r="M216" s="24"/>
      <c r="N216" s="24"/>
      <c r="O216" s="24"/>
      <c r="P216" s="24"/>
      <c r="Q216" s="24"/>
      <c r="R216" s="24"/>
      <c r="S216" s="24"/>
      <c r="T216" s="24"/>
      <c r="U216" s="24"/>
      <c r="V216" s="24"/>
      <c r="W216" s="24"/>
      <c r="X216" s="26"/>
      <c r="Y216" s="26"/>
      <c r="Z216" s="26"/>
      <c r="AA216" s="26"/>
      <c r="AB216" s="26"/>
      <c r="AC216" s="26"/>
      <c r="AD216" s="26"/>
      <c r="AE216" s="26"/>
      <c r="AF216" s="26"/>
      <c r="AG216" s="26"/>
      <c r="AH216" s="26"/>
      <c r="AI216" s="26"/>
    </row>
    <row r="217" spans="2:35" x14ac:dyDescent="0.35">
      <c r="B217" s="24"/>
      <c r="C217" s="24"/>
      <c r="D217" s="24"/>
      <c r="E217" s="24"/>
      <c r="F217" s="24"/>
      <c r="G217" s="24"/>
      <c r="H217" s="24"/>
      <c r="I217" s="24"/>
      <c r="J217" s="24"/>
      <c r="K217" s="24"/>
      <c r="L217" s="24"/>
      <c r="M217" s="24"/>
      <c r="N217" s="24"/>
      <c r="O217" s="24"/>
      <c r="P217" s="24"/>
      <c r="Q217" s="24"/>
      <c r="R217" s="24"/>
      <c r="S217" s="24"/>
      <c r="T217" s="24"/>
      <c r="U217" s="24"/>
      <c r="V217" s="24"/>
      <c r="W217" s="24"/>
      <c r="X217" s="26"/>
      <c r="Y217" s="26"/>
      <c r="Z217" s="26"/>
      <c r="AA217" s="26"/>
      <c r="AB217" s="26"/>
      <c r="AC217" s="26"/>
      <c r="AD217" s="26"/>
      <c r="AE217" s="26"/>
      <c r="AF217" s="26"/>
      <c r="AG217" s="26"/>
      <c r="AH217" s="26"/>
      <c r="AI217" s="26"/>
    </row>
    <row r="218" spans="2:35" x14ac:dyDescent="0.35">
      <c r="B218" s="24"/>
      <c r="C218" s="24"/>
      <c r="D218" s="24"/>
      <c r="E218" s="24"/>
      <c r="F218" s="24"/>
      <c r="G218" s="24"/>
      <c r="H218" s="24"/>
      <c r="I218" s="24"/>
      <c r="J218" s="24"/>
      <c r="K218" s="24"/>
      <c r="L218" s="24"/>
      <c r="M218" s="24"/>
      <c r="N218" s="24"/>
      <c r="O218" s="24"/>
      <c r="P218" s="24"/>
      <c r="Q218" s="24"/>
      <c r="R218" s="24"/>
      <c r="S218" s="24"/>
      <c r="T218" s="24"/>
      <c r="U218" s="24"/>
      <c r="V218" s="24"/>
      <c r="W218" s="24"/>
      <c r="X218" s="26"/>
      <c r="Y218" s="26"/>
      <c r="Z218" s="26"/>
      <c r="AA218" s="26"/>
      <c r="AB218" s="26"/>
      <c r="AC218" s="26"/>
      <c r="AD218" s="26"/>
      <c r="AE218" s="26"/>
      <c r="AF218" s="26"/>
      <c r="AG218" s="26"/>
      <c r="AH218" s="26"/>
      <c r="AI218" s="26"/>
    </row>
    <row r="219" spans="2:35" x14ac:dyDescent="0.35">
      <c r="B219" s="24"/>
      <c r="C219" s="24"/>
      <c r="D219" s="24"/>
      <c r="E219" s="24"/>
      <c r="F219" s="24"/>
      <c r="G219" s="24"/>
      <c r="H219" s="24"/>
      <c r="I219" s="24"/>
      <c r="J219" s="24"/>
      <c r="K219" s="24"/>
      <c r="L219" s="24"/>
      <c r="M219" s="24"/>
      <c r="N219" s="24"/>
      <c r="O219" s="24"/>
      <c r="P219" s="24"/>
      <c r="Q219" s="24"/>
      <c r="R219" s="24"/>
      <c r="S219" s="24"/>
      <c r="T219" s="24"/>
      <c r="U219" s="24"/>
      <c r="V219" s="24"/>
      <c r="W219" s="24"/>
      <c r="X219" s="26"/>
      <c r="Y219" s="26"/>
      <c r="Z219" s="26"/>
      <c r="AA219" s="26"/>
      <c r="AB219" s="26"/>
      <c r="AC219" s="26"/>
      <c r="AD219" s="26"/>
      <c r="AE219" s="26"/>
      <c r="AF219" s="26"/>
      <c r="AG219" s="26"/>
      <c r="AH219" s="26"/>
      <c r="AI219" s="26"/>
    </row>
    <row r="220" spans="2:35" x14ac:dyDescent="0.35">
      <c r="B220" s="24"/>
      <c r="C220" s="24"/>
      <c r="D220" s="24"/>
      <c r="E220" s="24"/>
      <c r="F220" s="24"/>
      <c r="G220" s="24"/>
      <c r="H220" s="24"/>
      <c r="I220" s="24"/>
      <c r="J220" s="24"/>
      <c r="K220" s="24"/>
      <c r="L220" s="24"/>
      <c r="M220" s="24"/>
      <c r="N220" s="24"/>
      <c r="O220" s="24"/>
      <c r="P220" s="24"/>
      <c r="Q220" s="24"/>
      <c r="R220" s="24"/>
      <c r="S220" s="24"/>
      <c r="T220" s="24"/>
      <c r="U220" s="24"/>
      <c r="V220" s="24"/>
      <c r="W220" s="24"/>
      <c r="X220" s="26"/>
      <c r="Y220" s="26"/>
      <c r="Z220" s="26"/>
      <c r="AA220" s="26"/>
      <c r="AB220" s="26"/>
      <c r="AC220" s="26"/>
      <c r="AD220" s="26"/>
      <c r="AE220" s="26"/>
      <c r="AF220" s="26"/>
      <c r="AG220" s="26"/>
      <c r="AH220" s="26"/>
      <c r="AI220" s="26"/>
    </row>
    <row r="221" spans="2:35" x14ac:dyDescent="0.35">
      <c r="B221" s="24"/>
      <c r="C221" s="24"/>
      <c r="D221" s="24"/>
      <c r="E221" s="24"/>
      <c r="F221" s="24"/>
      <c r="G221" s="24"/>
      <c r="H221" s="24"/>
      <c r="I221" s="24"/>
      <c r="J221" s="24"/>
      <c r="K221" s="24"/>
      <c r="L221" s="24"/>
      <c r="M221" s="24"/>
      <c r="N221" s="24"/>
      <c r="O221" s="24"/>
      <c r="P221" s="24"/>
      <c r="Q221" s="24"/>
      <c r="R221" s="24"/>
      <c r="S221" s="24"/>
      <c r="T221" s="24"/>
      <c r="U221" s="24"/>
      <c r="V221" s="24"/>
      <c r="W221" s="24"/>
      <c r="X221" s="26"/>
      <c r="Y221" s="26"/>
      <c r="Z221" s="26"/>
      <c r="AA221" s="26"/>
      <c r="AB221" s="26"/>
      <c r="AC221" s="26"/>
      <c r="AD221" s="26"/>
      <c r="AE221" s="26"/>
      <c r="AF221" s="26"/>
      <c r="AG221" s="26"/>
      <c r="AH221" s="26"/>
      <c r="AI221" s="26"/>
    </row>
    <row r="222" spans="2:35" x14ac:dyDescent="0.35">
      <c r="B222" s="24"/>
      <c r="C222" s="24"/>
      <c r="D222" s="24"/>
      <c r="E222" s="24"/>
      <c r="F222" s="24"/>
      <c r="G222" s="24"/>
      <c r="H222" s="24"/>
      <c r="I222" s="24"/>
      <c r="J222" s="24"/>
      <c r="K222" s="24"/>
      <c r="L222" s="24"/>
      <c r="M222" s="24"/>
      <c r="N222" s="24"/>
      <c r="O222" s="24"/>
      <c r="P222" s="24"/>
      <c r="Q222" s="24"/>
      <c r="R222" s="24"/>
      <c r="S222" s="24"/>
      <c r="T222" s="24"/>
      <c r="U222" s="24"/>
      <c r="V222" s="24"/>
      <c r="W222" s="24"/>
      <c r="X222" s="26"/>
      <c r="Y222" s="26"/>
      <c r="Z222" s="26"/>
      <c r="AA222" s="26"/>
      <c r="AB222" s="26"/>
      <c r="AC222" s="26"/>
      <c r="AD222" s="26"/>
      <c r="AE222" s="26"/>
      <c r="AF222" s="26"/>
      <c r="AG222" s="26"/>
      <c r="AH222" s="26"/>
      <c r="AI222" s="26"/>
    </row>
    <row r="223" spans="2:35" x14ac:dyDescent="0.35">
      <c r="B223" s="24"/>
      <c r="C223" s="24"/>
      <c r="D223" s="24"/>
      <c r="E223" s="24"/>
      <c r="F223" s="24"/>
      <c r="G223" s="24"/>
      <c r="H223" s="24"/>
      <c r="I223" s="24"/>
      <c r="J223" s="24"/>
      <c r="K223" s="24"/>
      <c r="L223" s="24"/>
      <c r="M223" s="24"/>
      <c r="N223" s="24"/>
      <c r="O223" s="24"/>
      <c r="P223" s="24"/>
      <c r="Q223" s="24"/>
      <c r="R223" s="24"/>
      <c r="S223" s="24"/>
      <c r="T223" s="24"/>
      <c r="U223" s="24"/>
      <c r="V223" s="24"/>
      <c r="W223" s="24"/>
      <c r="X223" s="26"/>
      <c r="Y223" s="26"/>
      <c r="Z223" s="26"/>
      <c r="AA223" s="26"/>
      <c r="AB223" s="26"/>
      <c r="AC223" s="26"/>
      <c r="AD223" s="26"/>
      <c r="AE223" s="26"/>
      <c r="AF223" s="26"/>
      <c r="AG223" s="26"/>
      <c r="AH223" s="26"/>
      <c r="AI223" s="26"/>
    </row>
    <row r="224" spans="2:35" x14ac:dyDescent="0.35">
      <c r="B224" s="24"/>
      <c r="C224" s="24"/>
      <c r="D224" s="24"/>
      <c r="E224" s="24"/>
      <c r="F224" s="24"/>
      <c r="G224" s="24"/>
      <c r="H224" s="24"/>
      <c r="I224" s="24"/>
      <c r="J224" s="24"/>
      <c r="K224" s="24"/>
      <c r="L224" s="24"/>
      <c r="M224" s="24"/>
      <c r="N224" s="24"/>
      <c r="O224" s="24"/>
      <c r="P224" s="24"/>
      <c r="Q224" s="24"/>
      <c r="R224" s="24"/>
      <c r="S224" s="24"/>
      <c r="T224" s="24"/>
      <c r="U224" s="24"/>
      <c r="V224" s="24"/>
      <c r="W224" s="24"/>
      <c r="X224" s="26"/>
      <c r="Y224" s="26"/>
      <c r="Z224" s="26"/>
      <c r="AA224" s="26"/>
      <c r="AB224" s="26"/>
      <c r="AC224" s="26"/>
      <c r="AD224" s="26"/>
      <c r="AE224" s="26"/>
      <c r="AF224" s="26"/>
      <c r="AG224" s="26"/>
      <c r="AH224" s="26"/>
      <c r="AI224" s="26"/>
    </row>
    <row r="225" spans="2:35" x14ac:dyDescent="0.35">
      <c r="B225" s="24"/>
      <c r="C225" s="24"/>
      <c r="D225" s="24"/>
      <c r="E225" s="24"/>
      <c r="F225" s="24"/>
      <c r="G225" s="24"/>
      <c r="H225" s="24"/>
      <c r="I225" s="24"/>
      <c r="J225" s="24"/>
      <c r="K225" s="24"/>
      <c r="L225" s="24"/>
      <c r="M225" s="24"/>
      <c r="N225" s="24"/>
      <c r="O225" s="24"/>
      <c r="P225" s="24"/>
      <c r="Q225" s="24"/>
      <c r="R225" s="24"/>
      <c r="S225" s="24"/>
      <c r="T225" s="24"/>
      <c r="U225" s="24"/>
      <c r="V225" s="24"/>
      <c r="W225" s="24"/>
      <c r="X225" s="26"/>
      <c r="Y225" s="26"/>
      <c r="Z225" s="26"/>
      <c r="AA225" s="26"/>
      <c r="AB225" s="26"/>
      <c r="AC225" s="26"/>
      <c r="AD225" s="26"/>
      <c r="AE225" s="26"/>
      <c r="AF225" s="26"/>
      <c r="AG225" s="26"/>
      <c r="AH225" s="26"/>
      <c r="AI225" s="26"/>
    </row>
    <row r="226" spans="2:35" x14ac:dyDescent="0.35">
      <c r="B226" s="24"/>
      <c r="C226" s="24"/>
      <c r="D226" s="24"/>
      <c r="E226" s="24"/>
      <c r="F226" s="24"/>
      <c r="G226" s="24"/>
      <c r="H226" s="24"/>
      <c r="I226" s="24"/>
      <c r="J226" s="24"/>
      <c r="K226" s="24"/>
      <c r="L226" s="24"/>
      <c r="M226" s="24"/>
      <c r="N226" s="24"/>
      <c r="O226" s="24"/>
      <c r="P226" s="24"/>
      <c r="Q226" s="24"/>
      <c r="R226" s="24"/>
      <c r="S226" s="24"/>
      <c r="T226" s="24"/>
      <c r="U226" s="24"/>
      <c r="V226" s="24"/>
      <c r="W226" s="24"/>
      <c r="X226" s="26"/>
      <c r="Y226" s="26"/>
      <c r="Z226" s="26"/>
      <c r="AA226" s="26"/>
      <c r="AB226" s="26"/>
      <c r="AC226" s="26"/>
      <c r="AD226" s="26"/>
      <c r="AE226" s="26"/>
      <c r="AF226" s="26"/>
      <c r="AG226" s="26"/>
      <c r="AH226" s="26"/>
      <c r="AI226" s="26"/>
    </row>
    <row r="227" spans="2:35" x14ac:dyDescent="0.35">
      <c r="B227" s="24"/>
      <c r="C227" s="24"/>
      <c r="D227" s="24"/>
      <c r="E227" s="24"/>
      <c r="F227" s="24"/>
      <c r="G227" s="24"/>
      <c r="H227" s="24"/>
      <c r="I227" s="24"/>
      <c r="J227" s="24"/>
      <c r="K227" s="24"/>
      <c r="L227" s="24"/>
      <c r="M227" s="24"/>
      <c r="N227" s="24"/>
      <c r="O227" s="24"/>
      <c r="P227" s="24"/>
      <c r="Q227" s="24"/>
      <c r="R227" s="24"/>
      <c r="S227" s="24"/>
      <c r="T227" s="24"/>
      <c r="U227" s="24"/>
      <c r="V227" s="24"/>
      <c r="W227" s="24"/>
      <c r="X227" s="26"/>
      <c r="Y227" s="26"/>
      <c r="Z227" s="26"/>
      <c r="AA227" s="26"/>
      <c r="AB227" s="26"/>
      <c r="AC227" s="26"/>
      <c r="AD227" s="26"/>
      <c r="AE227" s="26"/>
      <c r="AF227" s="26"/>
      <c r="AG227" s="26"/>
      <c r="AH227" s="26"/>
      <c r="AI227" s="26"/>
    </row>
    <row r="228" spans="2:35" x14ac:dyDescent="0.35">
      <c r="B228" s="24"/>
      <c r="C228" s="24"/>
      <c r="D228" s="24"/>
      <c r="E228" s="24"/>
      <c r="F228" s="24"/>
      <c r="G228" s="24"/>
      <c r="H228" s="24"/>
      <c r="I228" s="24"/>
      <c r="J228" s="24"/>
      <c r="K228" s="24"/>
      <c r="L228" s="24"/>
      <c r="M228" s="24"/>
      <c r="N228" s="24"/>
      <c r="O228" s="24"/>
      <c r="P228" s="24"/>
      <c r="Q228" s="24"/>
      <c r="R228" s="24"/>
      <c r="S228" s="24"/>
      <c r="T228" s="24"/>
      <c r="U228" s="24"/>
      <c r="V228" s="24"/>
      <c r="W228" s="24"/>
      <c r="X228" s="26"/>
      <c r="Y228" s="26"/>
      <c r="Z228" s="26"/>
      <c r="AA228" s="26"/>
      <c r="AB228" s="26"/>
      <c r="AC228" s="26"/>
      <c r="AD228" s="26"/>
      <c r="AE228" s="26"/>
      <c r="AF228" s="26"/>
      <c r="AG228" s="26"/>
      <c r="AH228" s="26"/>
      <c r="AI228" s="26"/>
    </row>
    <row r="229" spans="2:35" x14ac:dyDescent="0.35">
      <c r="B229" s="24"/>
      <c r="C229" s="24"/>
      <c r="D229" s="24"/>
      <c r="E229" s="24"/>
      <c r="F229" s="24"/>
      <c r="G229" s="24"/>
      <c r="H229" s="24"/>
      <c r="I229" s="24"/>
      <c r="J229" s="24"/>
      <c r="K229" s="24"/>
      <c r="L229" s="24"/>
      <c r="M229" s="24"/>
      <c r="N229" s="24"/>
      <c r="O229" s="24"/>
      <c r="P229" s="24"/>
      <c r="Q229" s="24"/>
      <c r="R229" s="24"/>
      <c r="S229" s="24"/>
      <c r="T229" s="24"/>
      <c r="U229" s="24"/>
      <c r="V229" s="24"/>
      <c r="W229" s="24"/>
      <c r="X229" s="26"/>
      <c r="Y229" s="26"/>
      <c r="Z229" s="26"/>
      <c r="AA229" s="26"/>
      <c r="AB229" s="26"/>
      <c r="AC229" s="26"/>
      <c r="AD229" s="26"/>
      <c r="AE229" s="26"/>
      <c r="AF229" s="26"/>
      <c r="AG229" s="26"/>
      <c r="AH229" s="26"/>
      <c r="AI229" s="26"/>
    </row>
    <row r="230" spans="2:35" x14ac:dyDescent="0.35">
      <c r="B230" s="24"/>
      <c r="C230" s="24"/>
      <c r="D230" s="24"/>
      <c r="E230" s="24"/>
      <c r="F230" s="24"/>
      <c r="G230" s="24"/>
      <c r="H230" s="24"/>
      <c r="I230" s="24"/>
      <c r="J230" s="24"/>
      <c r="K230" s="24"/>
      <c r="L230" s="24"/>
      <c r="M230" s="24"/>
      <c r="N230" s="24"/>
      <c r="O230" s="24"/>
      <c r="P230" s="24"/>
      <c r="Q230" s="24"/>
      <c r="R230" s="24"/>
      <c r="S230" s="24"/>
      <c r="T230" s="24"/>
      <c r="U230" s="24"/>
      <c r="V230" s="24"/>
      <c r="W230" s="24"/>
      <c r="X230" s="26"/>
      <c r="Y230" s="26"/>
      <c r="Z230" s="26"/>
      <c r="AA230" s="26"/>
      <c r="AB230" s="26"/>
      <c r="AC230" s="26"/>
      <c r="AD230" s="26"/>
      <c r="AE230" s="26"/>
      <c r="AF230" s="26"/>
      <c r="AG230" s="26"/>
      <c r="AH230" s="26"/>
      <c r="AI230" s="26"/>
    </row>
    <row r="231" spans="2:35" x14ac:dyDescent="0.35">
      <c r="B231" s="24"/>
      <c r="C231" s="24"/>
      <c r="D231" s="24"/>
      <c r="E231" s="24"/>
      <c r="F231" s="24"/>
      <c r="G231" s="24"/>
      <c r="H231" s="24"/>
      <c r="I231" s="24"/>
      <c r="J231" s="24"/>
      <c r="K231" s="24"/>
      <c r="L231" s="24"/>
      <c r="M231" s="24"/>
      <c r="N231" s="24"/>
      <c r="O231" s="24"/>
      <c r="P231" s="24"/>
      <c r="Q231" s="24"/>
      <c r="R231" s="24"/>
      <c r="S231" s="24"/>
      <c r="T231" s="24"/>
      <c r="U231" s="24"/>
      <c r="V231" s="24"/>
      <c r="W231" s="24"/>
      <c r="X231" s="26"/>
      <c r="Y231" s="26"/>
      <c r="Z231" s="26"/>
      <c r="AA231" s="26"/>
      <c r="AB231" s="26"/>
      <c r="AC231" s="26"/>
      <c r="AD231" s="26"/>
      <c r="AE231" s="26"/>
      <c r="AF231" s="26"/>
      <c r="AG231" s="26"/>
      <c r="AH231" s="26"/>
      <c r="AI231" s="26"/>
    </row>
    <row r="232" spans="2:35" x14ac:dyDescent="0.35">
      <c r="B232" s="24"/>
      <c r="C232" s="24"/>
      <c r="D232" s="24"/>
      <c r="E232" s="24"/>
      <c r="F232" s="24"/>
      <c r="G232" s="24"/>
      <c r="H232" s="24"/>
      <c r="I232" s="24"/>
      <c r="J232" s="24"/>
      <c r="K232" s="24"/>
      <c r="L232" s="24"/>
      <c r="M232" s="24"/>
      <c r="N232" s="24"/>
      <c r="O232" s="24"/>
      <c r="P232" s="24"/>
      <c r="Q232" s="24"/>
      <c r="R232" s="24"/>
      <c r="S232" s="24"/>
      <c r="T232" s="24"/>
      <c r="U232" s="24"/>
      <c r="V232" s="24"/>
      <c r="W232" s="24"/>
      <c r="X232" s="26"/>
      <c r="Y232" s="26"/>
      <c r="Z232" s="26"/>
      <c r="AA232" s="26"/>
      <c r="AB232" s="26"/>
      <c r="AC232" s="26"/>
      <c r="AD232" s="26"/>
      <c r="AE232" s="26"/>
      <c r="AF232" s="26"/>
      <c r="AG232" s="26"/>
      <c r="AH232" s="26"/>
      <c r="AI232" s="26"/>
    </row>
    <row r="233" spans="2:35" x14ac:dyDescent="0.35">
      <c r="B233" s="24"/>
      <c r="C233" s="24"/>
      <c r="D233" s="24"/>
      <c r="E233" s="24"/>
      <c r="F233" s="24"/>
      <c r="G233" s="24"/>
      <c r="H233" s="24"/>
      <c r="I233" s="24"/>
      <c r="J233" s="24"/>
      <c r="K233" s="24"/>
      <c r="L233" s="24"/>
      <c r="M233" s="24"/>
      <c r="N233" s="24"/>
      <c r="O233" s="24"/>
      <c r="P233" s="24"/>
      <c r="Q233" s="24"/>
      <c r="R233" s="24"/>
      <c r="S233" s="24"/>
      <c r="T233" s="24"/>
      <c r="U233" s="24"/>
      <c r="V233" s="24"/>
      <c r="W233" s="24"/>
      <c r="X233" s="26"/>
      <c r="Y233" s="26"/>
      <c r="Z233" s="26"/>
      <c r="AA233" s="26"/>
      <c r="AB233" s="26"/>
      <c r="AC233" s="26"/>
      <c r="AD233" s="26"/>
      <c r="AE233" s="26"/>
      <c r="AF233" s="26"/>
      <c r="AG233" s="26"/>
      <c r="AH233" s="26"/>
      <c r="AI233" s="26"/>
    </row>
    <row r="234" spans="2:35" x14ac:dyDescent="0.35">
      <c r="B234" s="24"/>
      <c r="C234" s="24"/>
      <c r="D234" s="24"/>
      <c r="E234" s="24"/>
      <c r="F234" s="24"/>
      <c r="G234" s="24"/>
      <c r="H234" s="24"/>
      <c r="I234" s="24"/>
      <c r="J234" s="24"/>
      <c r="K234" s="24"/>
      <c r="L234" s="24"/>
      <c r="M234" s="24"/>
      <c r="N234" s="24"/>
      <c r="O234" s="24"/>
      <c r="P234" s="24"/>
      <c r="Q234" s="24"/>
      <c r="R234" s="24"/>
      <c r="S234" s="24"/>
      <c r="T234" s="24"/>
      <c r="U234" s="24"/>
      <c r="V234" s="24"/>
      <c r="W234" s="24"/>
      <c r="X234" s="26"/>
      <c r="Y234" s="26"/>
      <c r="Z234" s="26"/>
      <c r="AA234" s="26"/>
      <c r="AB234" s="26"/>
      <c r="AC234" s="26"/>
      <c r="AD234" s="26"/>
      <c r="AE234" s="26"/>
      <c r="AF234" s="26"/>
      <c r="AG234" s="26"/>
      <c r="AH234" s="26"/>
      <c r="AI234" s="26"/>
    </row>
    <row r="235" spans="2:35" x14ac:dyDescent="0.35">
      <c r="B235" s="24"/>
      <c r="C235" s="24"/>
      <c r="D235" s="24"/>
      <c r="E235" s="24"/>
      <c r="F235" s="24"/>
      <c r="G235" s="24"/>
      <c r="H235" s="24"/>
      <c r="I235" s="24"/>
      <c r="J235" s="24"/>
      <c r="K235" s="24"/>
      <c r="L235" s="24"/>
      <c r="M235" s="24"/>
      <c r="N235" s="24"/>
      <c r="O235" s="24"/>
      <c r="P235" s="24"/>
      <c r="Q235" s="24"/>
      <c r="R235" s="24"/>
      <c r="S235" s="24"/>
      <c r="T235" s="24"/>
      <c r="U235" s="24"/>
      <c r="V235" s="24"/>
      <c r="W235" s="24"/>
      <c r="X235" s="26"/>
      <c r="Y235" s="26"/>
      <c r="Z235" s="26"/>
      <c r="AA235" s="26"/>
      <c r="AB235" s="26"/>
      <c r="AC235" s="26"/>
      <c r="AD235" s="26"/>
      <c r="AE235" s="26"/>
      <c r="AF235" s="26"/>
      <c r="AG235" s="26"/>
      <c r="AH235" s="26"/>
      <c r="AI235" s="26"/>
    </row>
    <row r="236" spans="2:35" x14ac:dyDescent="0.35">
      <c r="B236" s="24"/>
      <c r="C236" s="24"/>
      <c r="D236" s="24"/>
      <c r="E236" s="24"/>
      <c r="F236" s="24"/>
      <c r="G236" s="24"/>
      <c r="H236" s="24"/>
      <c r="I236" s="24"/>
      <c r="J236" s="24"/>
      <c r="K236" s="24"/>
      <c r="L236" s="24"/>
      <c r="M236" s="24"/>
      <c r="N236" s="24"/>
      <c r="O236" s="24"/>
      <c r="P236" s="24"/>
      <c r="Q236" s="24"/>
      <c r="R236" s="24"/>
      <c r="S236" s="24"/>
      <c r="T236" s="24"/>
      <c r="U236" s="24"/>
      <c r="V236" s="24"/>
      <c r="W236" s="24"/>
      <c r="X236" s="26"/>
      <c r="Y236" s="26"/>
      <c r="Z236" s="26"/>
      <c r="AA236" s="26"/>
      <c r="AB236" s="26"/>
      <c r="AC236" s="26"/>
      <c r="AD236" s="26"/>
      <c r="AE236" s="26"/>
      <c r="AF236" s="26"/>
      <c r="AG236" s="26"/>
      <c r="AH236" s="26"/>
      <c r="AI236" s="26"/>
    </row>
    <row r="237" spans="2:35" x14ac:dyDescent="0.35">
      <c r="B237" s="24"/>
      <c r="C237" s="24"/>
      <c r="D237" s="24"/>
      <c r="E237" s="24"/>
      <c r="F237" s="24"/>
      <c r="G237" s="24"/>
      <c r="H237" s="24"/>
      <c r="I237" s="24"/>
      <c r="J237" s="24"/>
      <c r="K237" s="24"/>
      <c r="L237" s="24"/>
      <c r="M237" s="24"/>
      <c r="N237" s="24"/>
      <c r="O237" s="24"/>
      <c r="P237" s="24"/>
      <c r="Q237" s="24"/>
      <c r="R237" s="24"/>
      <c r="S237" s="24"/>
      <c r="T237" s="24"/>
      <c r="U237" s="24"/>
      <c r="V237" s="24"/>
      <c r="W237" s="24"/>
      <c r="X237" s="26"/>
      <c r="Y237" s="26"/>
      <c r="Z237" s="26"/>
      <c r="AA237" s="26"/>
      <c r="AB237" s="26"/>
      <c r="AC237" s="26"/>
      <c r="AD237" s="26"/>
      <c r="AE237" s="26"/>
      <c r="AF237" s="26"/>
      <c r="AG237" s="26"/>
      <c r="AH237" s="26"/>
      <c r="AI237" s="26"/>
    </row>
    <row r="238" spans="2:35" x14ac:dyDescent="0.35">
      <c r="B238" s="24"/>
      <c r="C238" s="24"/>
      <c r="D238" s="24"/>
      <c r="E238" s="24"/>
      <c r="F238" s="24"/>
      <c r="G238" s="24"/>
      <c r="H238" s="24"/>
      <c r="I238" s="24"/>
      <c r="J238" s="24"/>
      <c r="K238" s="24"/>
      <c r="L238" s="24"/>
      <c r="M238" s="24"/>
      <c r="N238" s="24"/>
      <c r="O238" s="24"/>
      <c r="P238" s="24"/>
      <c r="Q238" s="24"/>
      <c r="R238" s="24"/>
      <c r="S238" s="24"/>
      <c r="T238" s="24"/>
      <c r="U238" s="24"/>
      <c r="V238" s="24"/>
      <c r="W238" s="24"/>
      <c r="X238" s="26"/>
      <c r="Y238" s="26"/>
      <c r="Z238" s="26"/>
      <c r="AA238" s="26"/>
      <c r="AB238" s="26"/>
      <c r="AC238" s="26"/>
      <c r="AD238" s="26"/>
      <c r="AE238" s="26"/>
      <c r="AF238" s="26"/>
      <c r="AG238" s="26"/>
      <c r="AH238" s="26"/>
      <c r="AI238" s="26"/>
    </row>
    <row r="239" spans="2:35" x14ac:dyDescent="0.35">
      <c r="B239" s="24"/>
      <c r="C239" s="24"/>
      <c r="D239" s="24"/>
      <c r="E239" s="24"/>
      <c r="F239" s="24"/>
      <c r="G239" s="24"/>
      <c r="H239" s="24"/>
      <c r="I239" s="24"/>
      <c r="J239" s="24"/>
      <c r="K239" s="24"/>
      <c r="L239" s="24"/>
      <c r="M239" s="24"/>
      <c r="N239" s="24"/>
      <c r="O239" s="24"/>
      <c r="P239" s="24"/>
      <c r="Q239" s="24"/>
      <c r="R239" s="24"/>
      <c r="S239" s="24"/>
      <c r="T239" s="24"/>
      <c r="U239" s="24"/>
      <c r="V239" s="24"/>
      <c r="W239" s="24"/>
      <c r="X239" s="26"/>
      <c r="Y239" s="26"/>
      <c r="Z239" s="26"/>
      <c r="AA239" s="26"/>
      <c r="AB239" s="26"/>
      <c r="AC239" s="26"/>
      <c r="AD239" s="26"/>
      <c r="AE239" s="26"/>
      <c r="AF239" s="26"/>
      <c r="AG239" s="26"/>
      <c r="AH239" s="26"/>
      <c r="AI239" s="26"/>
    </row>
    <row r="240" spans="2:35" x14ac:dyDescent="0.35">
      <c r="B240" s="24"/>
      <c r="C240" s="24"/>
      <c r="D240" s="24"/>
      <c r="E240" s="24"/>
      <c r="F240" s="24"/>
      <c r="G240" s="24"/>
      <c r="H240" s="24"/>
      <c r="I240" s="24"/>
      <c r="J240" s="24"/>
      <c r="K240" s="24"/>
      <c r="L240" s="24"/>
      <c r="M240" s="24"/>
      <c r="N240" s="24"/>
      <c r="O240" s="24"/>
      <c r="P240" s="24"/>
      <c r="Q240" s="24"/>
      <c r="R240" s="24"/>
      <c r="S240" s="24"/>
      <c r="T240" s="24"/>
      <c r="U240" s="24"/>
      <c r="V240" s="24"/>
      <c r="W240" s="24"/>
      <c r="X240" s="26"/>
      <c r="Y240" s="26"/>
      <c r="Z240" s="26"/>
      <c r="AA240" s="26"/>
      <c r="AB240" s="26"/>
      <c r="AC240" s="26"/>
      <c r="AD240" s="26"/>
      <c r="AE240" s="26"/>
      <c r="AF240" s="26"/>
      <c r="AG240" s="26"/>
      <c r="AH240" s="26"/>
      <c r="AI240" s="26"/>
    </row>
    <row r="241" spans="2:35" x14ac:dyDescent="0.35">
      <c r="B241" s="24"/>
      <c r="C241" s="24"/>
      <c r="D241" s="24"/>
      <c r="E241" s="24"/>
      <c r="F241" s="24"/>
      <c r="G241" s="24"/>
      <c r="H241" s="24"/>
      <c r="I241" s="24"/>
      <c r="J241" s="24"/>
      <c r="K241" s="24"/>
      <c r="L241" s="24"/>
      <c r="M241" s="24"/>
      <c r="N241" s="24"/>
      <c r="O241" s="24"/>
      <c r="P241" s="24"/>
      <c r="Q241" s="24"/>
      <c r="R241" s="24"/>
      <c r="S241" s="24"/>
      <c r="T241" s="24"/>
      <c r="U241" s="24"/>
      <c r="V241" s="24"/>
      <c r="W241" s="24"/>
      <c r="X241" s="26"/>
      <c r="Y241" s="26"/>
      <c r="Z241" s="26"/>
      <c r="AA241" s="26"/>
      <c r="AB241" s="26"/>
      <c r="AC241" s="26"/>
      <c r="AD241" s="26"/>
      <c r="AE241" s="26"/>
      <c r="AF241" s="26"/>
      <c r="AG241" s="26"/>
      <c r="AH241" s="26"/>
      <c r="AI241" s="26"/>
    </row>
    <row r="242" spans="2:35" x14ac:dyDescent="0.35">
      <c r="B242" s="24"/>
      <c r="C242" s="24"/>
      <c r="D242" s="24"/>
      <c r="E242" s="24"/>
      <c r="F242" s="24"/>
      <c r="G242" s="24"/>
      <c r="H242" s="24"/>
      <c r="I242" s="24"/>
      <c r="J242" s="24"/>
      <c r="K242" s="24"/>
      <c r="L242" s="24"/>
      <c r="M242" s="24"/>
      <c r="N242" s="24"/>
      <c r="O242" s="24"/>
      <c r="P242" s="24"/>
      <c r="Q242" s="24"/>
      <c r="R242" s="24"/>
      <c r="S242" s="24"/>
      <c r="T242" s="24"/>
      <c r="U242" s="24"/>
      <c r="V242" s="24"/>
      <c r="W242" s="24"/>
      <c r="X242" s="26"/>
      <c r="Y242" s="26"/>
      <c r="Z242" s="26"/>
      <c r="AA242" s="26"/>
      <c r="AB242" s="26"/>
      <c r="AC242" s="26"/>
      <c r="AD242" s="26"/>
      <c r="AE242" s="26"/>
      <c r="AF242" s="26"/>
      <c r="AG242" s="26"/>
      <c r="AH242" s="26"/>
      <c r="AI242" s="26"/>
    </row>
    <row r="243" spans="2:35" x14ac:dyDescent="0.35">
      <c r="B243" s="24"/>
      <c r="C243" s="24"/>
      <c r="D243" s="24"/>
      <c r="E243" s="24"/>
      <c r="F243" s="24"/>
      <c r="G243" s="24"/>
      <c r="H243" s="24"/>
      <c r="I243" s="24"/>
      <c r="J243" s="24"/>
      <c r="K243" s="24"/>
      <c r="L243" s="24"/>
      <c r="M243" s="24"/>
      <c r="N243" s="24"/>
      <c r="O243" s="24"/>
      <c r="P243" s="24"/>
      <c r="Q243" s="24"/>
      <c r="R243" s="24"/>
      <c r="S243" s="24"/>
      <c r="T243" s="24"/>
      <c r="U243" s="24"/>
      <c r="V243" s="24"/>
      <c r="W243" s="24"/>
      <c r="X243" s="26"/>
      <c r="Y243" s="26"/>
      <c r="Z243" s="26"/>
      <c r="AA243" s="26"/>
      <c r="AB243" s="26"/>
      <c r="AC243" s="26"/>
      <c r="AD243" s="26"/>
      <c r="AE243" s="26"/>
      <c r="AF243" s="26"/>
      <c r="AG243" s="26"/>
      <c r="AH243" s="26"/>
      <c r="AI243" s="26"/>
    </row>
    <row r="244" spans="2:35" x14ac:dyDescent="0.35">
      <c r="B244" s="24"/>
      <c r="C244" s="24"/>
      <c r="D244" s="24"/>
      <c r="E244" s="24"/>
      <c r="F244" s="24"/>
      <c r="G244" s="24"/>
      <c r="H244" s="24"/>
      <c r="I244" s="24"/>
      <c r="J244" s="24"/>
      <c r="K244" s="24"/>
      <c r="L244" s="24"/>
      <c r="M244" s="24"/>
      <c r="N244" s="24"/>
      <c r="O244" s="24"/>
      <c r="P244" s="24"/>
      <c r="Q244" s="24"/>
      <c r="R244" s="24"/>
      <c r="S244" s="24"/>
      <c r="T244" s="24"/>
      <c r="U244" s="24"/>
      <c r="V244" s="24"/>
      <c r="W244" s="24"/>
      <c r="X244" s="26"/>
      <c r="Y244" s="26"/>
      <c r="Z244" s="26"/>
      <c r="AA244" s="26"/>
      <c r="AB244" s="26"/>
      <c r="AC244" s="26"/>
      <c r="AD244" s="26"/>
      <c r="AE244" s="26"/>
      <c r="AF244" s="26"/>
      <c r="AG244" s="26"/>
      <c r="AH244" s="26"/>
      <c r="AI244" s="26"/>
    </row>
    <row r="245" spans="2:35" x14ac:dyDescent="0.35">
      <c r="B245" s="24"/>
      <c r="C245" s="24"/>
      <c r="D245" s="24"/>
      <c r="E245" s="24"/>
      <c r="F245" s="24"/>
      <c r="G245" s="24"/>
      <c r="H245" s="24"/>
      <c r="I245" s="24"/>
      <c r="J245" s="24"/>
      <c r="K245" s="24"/>
      <c r="L245" s="24"/>
      <c r="M245" s="24"/>
      <c r="N245" s="24"/>
      <c r="O245" s="24"/>
      <c r="P245" s="24"/>
      <c r="Q245" s="24"/>
      <c r="R245" s="24"/>
      <c r="S245" s="24"/>
      <c r="T245" s="24"/>
      <c r="U245" s="24"/>
      <c r="V245" s="24"/>
      <c r="W245" s="24"/>
      <c r="X245" s="26"/>
      <c r="Y245" s="26"/>
      <c r="Z245" s="26"/>
      <c r="AA245" s="26"/>
      <c r="AB245" s="26"/>
      <c r="AC245" s="26"/>
      <c r="AD245" s="26"/>
      <c r="AE245" s="26"/>
      <c r="AF245" s="26"/>
      <c r="AG245" s="26"/>
      <c r="AH245" s="26"/>
      <c r="AI245" s="26"/>
    </row>
    <row r="246" spans="2:35" x14ac:dyDescent="0.35">
      <c r="B246" s="24"/>
      <c r="C246" s="24"/>
      <c r="D246" s="24"/>
      <c r="E246" s="24"/>
      <c r="F246" s="24"/>
      <c r="G246" s="24"/>
      <c r="H246" s="24"/>
      <c r="I246" s="24"/>
      <c r="J246" s="24"/>
      <c r="K246" s="24"/>
      <c r="L246" s="24"/>
      <c r="M246" s="24"/>
      <c r="N246" s="24"/>
      <c r="O246" s="24"/>
      <c r="P246" s="24"/>
      <c r="Q246" s="24"/>
      <c r="R246" s="24"/>
      <c r="S246" s="24"/>
      <c r="T246" s="24"/>
      <c r="U246" s="24"/>
      <c r="V246" s="24"/>
      <c r="W246" s="24"/>
      <c r="X246" s="26"/>
      <c r="Y246" s="26"/>
      <c r="Z246" s="26"/>
      <c r="AA246" s="26"/>
      <c r="AB246" s="26"/>
      <c r="AC246" s="26"/>
      <c r="AD246" s="26"/>
      <c r="AE246" s="26"/>
      <c r="AF246" s="26"/>
      <c r="AG246" s="26"/>
      <c r="AH246" s="26"/>
      <c r="AI246" s="26"/>
    </row>
    <row r="247" spans="2:35" x14ac:dyDescent="0.35">
      <c r="B247" s="24"/>
      <c r="C247" s="24"/>
      <c r="D247" s="24"/>
      <c r="E247" s="24"/>
      <c r="F247" s="24"/>
      <c r="G247" s="24"/>
      <c r="H247" s="24"/>
      <c r="I247" s="24"/>
      <c r="J247" s="24"/>
      <c r="K247" s="24"/>
      <c r="L247" s="24"/>
      <c r="M247" s="24"/>
      <c r="N247" s="24"/>
      <c r="O247" s="24"/>
      <c r="P247" s="24"/>
      <c r="Q247" s="24"/>
      <c r="R247" s="24"/>
      <c r="S247" s="24"/>
      <c r="T247" s="24"/>
      <c r="U247" s="24"/>
      <c r="V247" s="24"/>
      <c r="W247" s="24"/>
      <c r="X247" s="26"/>
      <c r="Y247" s="26"/>
      <c r="Z247" s="26"/>
      <c r="AA247" s="26"/>
      <c r="AB247" s="26"/>
      <c r="AC247" s="26"/>
      <c r="AD247" s="26"/>
      <c r="AE247" s="26"/>
      <c r="AF247" s="26"/>
      <c r="AG247" s="26"/>
      <c r="AH247" s="26"/>
      <c r="AI247" s="26"/>
    </row>
    <row r="248" spans="2:35" x14ac:dyDescent="0.35">
      <c r="B248" s="24"/>
      <c r="C248" s="24"/>
      <c r="D248" s="24"/>
      <c r="E248" s="24"/>
      <c r="F248" s="24"/>
      <c r="G248" s="24"/>
      <c r="H248" s="24"/>
      <c r="I248" s="24"/>
      <c r="J248" s="24"/>
      <c r="K248" s="24"/>
      <c r="L248" s="24"/>
      <c r="M248" s="24"/>
      <c r="N248" s="24"/>
      <c r="O248" s="24"/>
      <c r="P248" s="24"/>
      <c r="Q248" s="24"/>
      <c r="R248" s="24"/>
      <c r="S248" s="24"/>
      <c r="T248" s="24"/>
      <c r="U248" s="24"/>
      <c r="V248" s="24"/>
      <c r="W248" s="24"/>
      <c r="X248" s="26"/>
      <c r="Y248" s="26"/>
      <c r="Z248" s="26"/>
      <c r="AA248" s="26"/>
      <c r="AB248" s="26"/>
      <c r="AC248" s="26"/>
      <c r="AD248" s="26"/>
      <c r="AE248" s="26"/>
      <c r="AF248" s="26"/>
      <c r="AG248" s="26"/>
      <c r="AH248" s="26"/>
      <c r="AI248" s="26"/>
    </row>
    <row r="249" spans="2:35" x14ac:dyDescent="0.35">
      <c r="B249" s="24"/>
      <c r="C249" s="24"/>
      <c r="D249" s="24"/>
      <c r="E249" s="24"/>
      <c r="F249" s="24"/>
      <c r="G249" s="24"/>
      <c r="H249" s="24"/>
      <c r="I249" s="24"/>
      <c r="J249" s="24"/>
      <c r="K249" s="24"/>
      <c r="L249" s="24"/>
      <c r="M249" s="24"/>
      <c r="N249" s="24"/>
      <c r="O249" s="24"/>
      <c r="P249" s="24"/>
      <c r="Q249" s="24"/>
      <c r="R249" s="24"/>
      <c r="S249" s="24"/>
      <c r="T249" s="24"/>
      <c r="U249" s="24"/>
      <c r="V249" s="24"/>
      <c r="W249" s="24"/>
      <c r="X249" s="26"/>
      <c r="Y249" s="26"/>
      <c r="Z249" s="26"/>
      <c r="AA249" s="26"/>
      <c r="AB249" s="26"/>
      <c r="AC249" s="26"/>
      <c r="AD249" s="26"/>
      <c r="AE249" s="26"/>
      <c r="AF249" s="26"/>
      <c r="AG249" s="26"/>
      <c r="AH249" s="26"/>
      <c r="AI249" s="26"/>
    </row>
    <row r="250" spans="2:35" x14ac:dyDescent="0.35">
      <c r="B250" s="24"/>
      <c r="C250" s="24"/>
      <c r="D250" s="24"/>
      <c r="E250" s="24"/>
      <c r="F250" s="24"/>
      <c r="G250" s="24"/>
      <c r="H250" s="24"/>
      <c r="I250" s="24"/>
      <c r="J250" s="24"/>
      <c r="K250" s="24"/>
      <c r="L250" s="24"/>
      <c r="M250" s="24"/>
      <c r="N250" s="24"/>
      <c r="O250" s="24"/>
      <c r="P250" s="24"/>
      <c r="Q250" s="24"/>
      <c r="R250" s="24"/>
      <c r="S250" s="24"/>
      <c r="T250" s="24"/>
      <c r="U250" s="24"/>
      <c r="V250" s="24"/>
      <c r="W250" s="24"/>
      <c r="X250" s="26"/>
      <c r="Y250" s="26"/>
      <c r="Z250" s="26"/>
      <c r="AA250" s="26"/>
      <c r="AB250" s="26"/>
      <c r="AC250" s="26"/>
      <c r="AD250" s="26"/>
      <c r="AE250" s="26"/>
      <c r="AF250" s="26"/>
      <c r="AG250" s="26"/>
      <c r="AH250" s="26"/>
      <c r="AI250" s="26"/>
    </row>
    <row r="251" spans="2:35" x14ac:dyDescent="0.35">
      <c r="B251" s="24"/>
      <c r="C251" s="24"/>
      <c r="D251" s="24"/>
      <c r="E251" s="24"/>
      <c r="F251" s="24"/>
      <c r="G251" s="24"/>
      <c r="H251" s="24"/>
      <c r="I251" s="24"/>
      <c r="J251" s="24"/>
      <c r="K251" s="24"/>
      <c r="L251" s="24"/>
      <c r="M251" s="24"/>
      <c r="N251" s="24"/>
      <c r="O251" s="24"/>
      <c r="P251" s="24"/>
      <c r="Q251" s="24"/>
      <c r="R251" s="24"/>
      <c r="S251" s="24"/>
      <c r="T251" s="24"/>
      <c r="U251" s="24"/>
      <c r="V251" s="24"/>
      <c r="W251" s="24"/>
      <c r="X251" s="26"/>
      <c r="Y251" s="26"/>
      <c r="Z251" s="26"/>
      <c r="AA251" s="26"/>
      <c r="AB251" s="26"/>
      <c r="AC251" s="26"/>
      <c r="AD251" s="26"/>
      <c r="AE251" s="26"/>
      <c r="AF251" s="26"/>
      <c r="AG251" s="26"/>
      <c r="AH251" s="26"/>
      <c r="AI251" s="26"/>
    </row>
    <row r="252" spans="2:35" x14ac:dyDescent="0.35">
      <c r="B252" s="24"/>
      <c r="C252" s="24"/>
      <c r="D252" s="24"/>
      <c r="E252" s="24"/>
      <c r="F252" s="24"/>
      <c r="G252" s="24"/>
      <c r="H252" s="24"/>
      <c r="I252" s="24"/>
      <c r="J252" s="24"/>
      <c r="K252" s="24"/>
      <c r="L252" s="24"/>
      <c r="M252" s="24"/>
      <c r="N252" s="24"/>
      <c r="O252" s="24"/>
      <c r="P252" s="24"/>
      <c r="Q252" s="24"/>
      <c r="R252" s="24"/>
      <c r="S252" s="24"/>
      <c r="T252" s="24"/>
      <c r="U252" s="24"/>
      <c r="V252" s="24"/>
      <c r="W252" s="24"/>
      <c r="X252" s="26"/>
      <c r="Y252" s="26"/>
      <c r="Z252" s="26"/>
      <c r="AA252" s="26"/>
      <c r="AB252" s="26"/>
      <c r="AC252" s="26"/>
      <c r="AD252" s="26"/>
      <c r="AE252" s="26"/>
      <c r="AF252" s="26"/>
      <c r="AG252" s="26"/>
      <c r="AH252" s="26"/>
      <c r="AI252" s="26"/>
    </row>
    <row r="253" spans="2:35" x14ac:dyDescent="0.35">
      <c r="B253" s="24"/>
      <c r="C253" s="24"/>
      <c r="D253" s="24"/>
      <c r="E253" s="24"/>
      <c r="F253" s="24"/>
      <c r="G253" s="24"/>
      <c r="H253" s="24"/>
      <c r="I253" s="24"/>
      <c r="J253" s="24"/>
      <c r="K253" s="24"/>
      <c r="L253" s="24"/>
      <c r="M253" s="24"/>
      <c r="N253" s="24"/>
      <c r="O253" s="24"/>
      <c r="P253" s="24"/>
      <c r="Q253" s="24"/>
      <c r="R253" s="24"/>
      <c r="S253" s="24"/>
      <c r="T253" s="24"/>
      <c r="U253" s="24"/>
      <c r="V253" s="24"/>
      <c r="W253" s="24"/>
      <c r="X253" s="26"/>
      <c r="Y253" s="26"/>
      <c r="Z253" s="26"/>
      <c r="AA253" s="26"/>
      <c r="AB253" s="26"/>
      <c r="AC253" s="26"/>
      <c r="AD253" s="26"/>
      <c r="AE253" s="26"/>
      <c r="AF253" s="26"/>
      <c r="AG253" s="26"/>
      <c r="AH253" s="26"/>
      <c r="AI253" s="26"/>
    </row>
    <row r="254" spans="2:35" x14ac:dyDescent="0.35">
      <c r="B254" s="24"/>
      <c r="C254" s="24"/>
      <c r="D254" s="24"/>
      <c r="E254" s="24"/>
      <c r="F254" s="24"/>
      <c r="G254" s="24"/>
      <c r="H254" s="24"/>
      <c r="I254" s="24"/>
      <c r="J254" s="24"/>
      <c r="K254" s="24"/>
      <c r="L254" s="24"/>
      <c r="M254" s="24"/>
      <c r="N254" s="24"/>
      <c r="O254" s="24"/>
      <c r="P254" s="24"/>
      <c r="Q254" s="24"/>
      <c r="R254" s="24"/>
      <c r="S254" s="24"/>
      <c r="T254" s="24"/>
      <c r="U254" s="24"/>
      <c r="V254" s="24"/>
      <c r="W254" s="24"/>
      <c r="X254" s="26"/>
      <c r="Y254" s="26"/>
      <c r="Z254" s="26"/>
      <c r="AA254" s="26"/>
      <c r="AB254" s="26"/>
      <c r="AC254" s="26"/>
      <c r="AD254" s="26"/>
      <c r="AE254" s="26"/>
      <c r="AF254" s="26"/>
      <c r="AG254" s="26"/>
      <c r="AH254" s="26"/>
      <c r="AI254" s="26"/>
    </row>
    <row r="255" spans="2:35" x14ac:dyDescent="0.35">
      <c r="B255" s="24"/>
      <c r="C255" s="24"/>
      <c r="D255" s="24"/>
      <c r="E255" s="24"/>
      <c r="F255" s="24"/>
      <c r="G255" s="24"/>
      <c r="H255" s="24"/>
      <c r="I255" s="24"/>
      <c r="J255" s="24"/>
      <c r="K255" s="24"/>
      <c r="L255" s="24"/>
      <c r="M255" s="24"/>
      <c r="N255" s="24"/>
      <c r="O255" s="24"/>
      <c r="P255" s="24"/>
      <c r="Q255" s="24"/>
      <c r="R255" s="24"/>
      <c r="S255" s="24"/>
      <c r="T255" s="24"/>
      <c r="U255" s="24"/>
      <c r="V255" s="24"/>
      <c r="W255" s="24"/>
      <c r="X255" s="26"/>
      <c r="Y255" s="26"/>
      <c r="Z255" s="26"/>
      <c r="AA255" s="26"/>
      <c r="AB255" s="26"/>
      <c r="AC255" s="26"/>
      <c r="AD255" s="26"/>
      <c r="AE255" s="26"/>
      <c r="AF255" s="26"/>
      <c r="AG255" s="26"/>
      <c r="AH255" s="26"/>
      <c r="AI255" s="26"/>
    </row>
    <row r="256" spans="2:35" x14ac:dyDescent="0.35">
      <c r="B256" s="24"/>
      <c r="C256" s="24"/>
      <c r="D256" s="24"/>
      <c r="E256" s="24"/>
      <c r="F256" s="24"/>
      <c r="G256" s="24"/>
      <c r="H256" s="24"/>
      <c r="I256" s="24"/>
      <c r="J256" s="24"/>
      <c r="K256" s="24"/>
      <c r="L256" s="24"/>
      <c r="M256" s="24"/>
      <c r="N256" s="24"/>
      <c r="O256" s="24"/>
      <c r="P256" s="24"/>
      <c r="Q256" s="24"/>
      <c r="R256" s="24"/>
      <c r="S256" s="24"/>
      <c r="T256" s="24"/>
      <c r="U256" s="24"/>
      <c r="V256" s="24"/>
      <c r="W256" s="24"/>
      <c r="X256" s="26"/>
      <c r="Y256" s="26"/>
      <c r="Z256" s="26"/>
      <c r="AA256" s="26"/>
      <c r="AB256" s="26"/>
      <c r="AC256" s="26"/>
      <c r="AD256" s="26"/>
      <c r="AE256" s="26"/>
      <c r="AF256" s="26"/>
      <c r="AG256" s="26"/>
      <c r="AH256" s="26"/>
      <c r="AI256" s="26"/>
    </row>
    <row r="257" spans="2:35" x14ac:dyDescent="0.35">
      <c r="B257" s="24"/>
      <c r="C257" s="24"/>
      <c r="D257" s="24"/>
      <c r="E257" s="24"/>
      <c r="F257" s="24"/>
      <c r="G257" s="24"/>
      <c r="H257" s="24"/>
      <c r="I257" s="24"/>
      <c r="J257" s="24"/>
      <c r="K257" s="24"/>
      <c r="L257" s="24"/>
      <c r="M257" s="24"/>
      <c r="N257" s="24"/>
      <c r="O257" s="24"/>
      <c r="P257" s="24"/>
      <c r="Q257" s="24"/>
      <c r="R257" s="24"/>
      <c r="S257" s="24"/>
      <c r="T257" s="24"/>
      <c r="U257" s="24"/>
      <c r="V257" s="24"/>
      <c r="W257" s="24"/>
      <c r="X257" s="26"/>
      <c r="Y257" s="26"/>
      <c r="Z257" s="26"/>
      <c r="AA257" s="26"/>
      <c r="AB257" s="26"/>
      <c r="AC257" s="26"/>
      <c r="AD257" s="26"/>
      <c r="AE257" s="26"/>
      <c r="AF257" s="26"/>
      <c r="AG257" s="26"/>
      <c r="AH257" s="26"/>
      <c r="AI257" s="26"/>
    </row>
    <row r="258" spans="2:35" x14ac:dyDescent="0.35">
      <c r="B258" s="24"/>
      <c r="C258" s="24"/>
      <c r="D258" s="24"/>
      <c r="E258" s="24"/>
      <c r="F258" s="24"/>
      <c r="G258" s="24"/>
      <c r="H258" s="24"/>
      <c r="I258" s="24"/>
      <c r="J258" s="24"/>
      <c r="K258" s="24"/>
      <c r="L258" s="24"/>
      <c r="M258" s="24"/>
      <c r="N258" s="24"/>
      <c r="O258" s="24"/>
      <c r="P258" s="24"/>
      <c r="Q258" s="24"/>
      <c r="R258" s="24"/>
      <c r="S258" s="24"/>
      <c r="T258" s="24"/>
      <c r="U258" s="24"/>
      <c r="V258" s="24"/>
      <c r="W258" s="24"/>
      <c r="X258" s="26"/>
      <c r="Y258" s="26"/>
      <c r="Z258" s="26"/>
      <c r="AA258" s="26"/>
      <c r="AB258" s="26"/>
      <c r="AC258" s="26"/>
      <c r="AD258" s="26"/>
      <c r="AE258" s="26"/>
      <c r="AF258" s="26"/>
      <c r="AG258" s="26"/>
      <c r="AH258" s="26"/>
      <c r="AI258" s="26"/>
    </row>
    <row r="259" spans="2:35" x14ac:dyDescent="0.35">
      <c r="B259" s="24"/>
      <c r="C259" s="24"/>
      <c r="D259" s="24"/>
      <c r="E259" s="24"/>
      <c r="F259" s="24"/>
      <c r="G259" s="24"/>
      <c r="H259" s="24"/>
      <c r="I259" s="24"/>
      <c r="J259" s="24"/>
      <c r="K259" s="24"/>
      <c r="L259" s="24"/>
      <c r="M259" s="24"/>
      <c r="N259" s="24"/>
      <c r="O259" s="24"/>
      <c r="P259" s="24"/>
      <c r="Q259" s="24"/>
      <c r="R259" s="24"/>
      <c r="S259" s="24"/>
      <c r="T259" s="24"/>
      <c r="U259" s="24"/>
      <c r="V259" s="24"/>
      <c r="W259" s="24"/>
      <c r="X259" s="26"/>
      <c r="Y259" s="26"/>
      <c r="Z259" s="26"/>
      <c r="AA259" s="26"/>
      <c r="AB259" s="26"/>
      <c r="AC259" s="26"/>
      <c r="AD259" s="26"/>
      <c r="AE259" s="26"/>
      <c r="AF259" s="26"/>
      <c r="AG259" s="26"/>
      <c r="AH259" s="26"/>
      <c r="AI259" s="26"/>
    </row>
    <row r="260" spans="2:35" x14ac:dyDescent="0.35">
      <c r="B260" s="24"/>
      <c r="C260" s="24"/>
      <c r="D260" s="24"/>
      <c r="E260" s="24"/>
      <c r="F260" s="24"/>
      <c r="G260" s="24"/>
      <c r="H260" s="24"/>
      <c r="I260" s="24"/>
      <c r="J260" s="24"/>
      <c r="K260" s="24"/>
      <c r="L260" s="24"/>
      <c r="M260" s="24"/>
      <c r="N260" s="24"/>
      <c r="O260" s="24"/>
      <c r="P260" s="24"/>
      <c r="Q260" s="24"/>
      <c r="R260" s="24"/>
      <c r="S260" s="24"/>
      <c r="T260" s="24"/>
      <c r="U260" s="24"/>
      <c r="V260" s="24"/>
      <c r="W260" s="24"/>
      <c r="X260" s="26"/>
      <c r="Y260" s="26"/>
      <c r="Z260" s="26"/>
      <c r="AA260" s="26"/>
      <c r="AB260" s="26"/>
      <c r="AC260" s="26"/>
      <c r="AD260" s="26"/>
      <c r="AE260" s="26"/>
      <c r="AF260" s="26"/>
      <c r="AG260" s="26"/>
      <c r="AH260" s="26"/>
      <c r="AI260" s="26"/>
    </row>
    <row r="261" spans="2:35" x14ac:dyDescent="0.35">
      <c r="B261" s="24"/>
      <c r="C261" s="24"/>
      <c r="D261" s="24"/>
      <c r="E261" s="24"/>
      <c r="F261" s="24"/>
      <c r="G261" s="24"/>
      <c r="H261" s="24"/>
      <c r="I261" s="24"/>
      <c r="J261" s="24"/>
      <c r="K261" s="24"/>
      <c r="L261" s="24"/>
      <c r="M261" s="24"/>
      <c r="N261" s="24"/>
      <c r="O261" s="24"/>
      <c r="P261" s="24"/>
      <c r="Q261" s="24"/>
      <c r="R261" s="24"/>
      <c r="S261" s="24"/>
      <c r="T261" s="24"/>
      <c r="U261" s="24"/>
      <c r="V261" s="24"/>
      <c r="W261" s="24"/>
      <c r="X261" s="26"/>
      <c r="Y261" s="26"/>
      <c r="Z261" s="26"/>
      <c r="AA261" s="26"/>
      <c r="AB261" s="26"/>
      <c r="AC261" s="26"/>
      <c r="AD261" s="26"/>
      <c r="AE261" s="26"/>
      <c r="AF261" s="26"/>
      <c r="AG261" s="26"/>
      <c r="AH261" s="26"/>
      <c r="AI261" s="26"/>
    </row>
    <row r="262" spans="2:35" x14ac:dyDescent="0.35">
      <c r="B262" s="24"/>
      <c r="C262" s="24"/>
      <c r="D262" s="24"/>
      <c r="E262" s="24"/>
      <c r="F262" s="24"/>
      <c r="G262" s="24"/>
      <c r="H262" s="24"/>
      <c r="I262" s="24"/>
      <c r="J262" s="24"/>
      <c r="K262" s="24"/>
      <c r="L262" s="24"/>
      <c r="M262" s="24"/>
      <c r="N262" s="24"/>
      <c r="O262" s="24"/>
      <c r="P262" s="24"/>
      <c r="Q262" s="24"/>
      <c r="R262" s="24"/>
      <c r="S262" s="24"/>
      <c r="T262" s="24"/>
      <c r="U262" s="24"/>
      <c r="V262" s="24"/>
      <c r="W262" s="24"/>
      <c r="X262" s="26"/>
      <c r="Y262" s="26"/>
      <c r="Z262" s="26"/>
      <c r="AA262" s="26"/>
      <c r="AB262" s="26"/>
      <c r="AC262" s="26"/>
      <c r="AD262" s="26"/>
      <c r="AE262" s="26"/>
      <c r="AF262" s="26"/>
      <c r="AG262" s="26"/>
      <c r="AH262" s="26"/>
      <c r="AI262" s="26"/>
    </row>
    <row r="263" spans="2:35" x14ac:dyDescent="0.35">
      <c r="B263" s="24"/>
      <c r="C263" s="24"/>
      <c r="D263" s="24"/>
      <c r="E263" s="24"/>
      <c r="F263" s="24"/>
      <c r="G263" s="24"/>
      <c r="H263" s="24"/>
      <c r="I263" s="24"/>
      <c r="J263" s="24"/>
      <c r="K263" s="24"/>
      <c r="L263" s="24"/>
      <c r="M263" s="24"/>
      <c r="N263" s="24"/>
      <c r="O263" s="24"/>
      <c r="P263" s="24"/>
      <c r="Q263" s="24"/>
      <c r="R263" s="24"/>
      <c r="S263" s="24"/>
      <c r="T263" s="24"/>
      <c r="U263" s="24"/>
      <c r="V263" s="24"/>
      <c r="W263" s="24"/>
      <c r="X263" s="26"/>
      <c r="Y263" s="26"/>
      <c r="Z263" s="26"/>
      <c r="AA263" s="26"/>
      <c r="AB263" s="26"/>
      <c r="AC263" s="26"/>
      <c r="AD263" s="26"/>
      <c r="AE263" s="26"/>
      <c r="AF263" s="26"/>
      <c r="AG263" s="26"/>
      <c r="AH263" s="26"/>
      <c r="AI263" s="26"/>
    </row>
    <row r="264" spans="2:35" x14ac:dyDescent="0.35">
      <c r="B264" s="24"/>
      <c r="C264" s="24"/>
      <c r="D264" s="24"/>
      <c r="E264" s="24"/>
      <c r="F264" s="24"/>
      <c r="G264" s="24"/>
      <c r="H264" s="24"/>
      <c r="I264" s="24"/>
      <c r="J264" s="24"/>
      <c r="K264" s="24"/>
      <c r="L264" s="24"/>
      <c r="M264" s="24"/>
      <c r="N264" s="24"/>
      <c r="O264" s="24"/>
      <c r="P264" s="24"/>
      <c r="Q264" s="24"/>
      <c r="R264" s="24"/>
      <c r="S264" s="24"/>
      <c r="T264" s="24"/>
      <c r="U264" s="24"/>
      <c r="V264" s="24"/>
      <c r="W264" s="24"/>
      <c r="X264" s="26"/>
      <c r="Y264" s="26"/>
      <c r="Z264" s="26"/>
      <c r="AA264" s="26"/>
      <c r="AB264" s="26"/>
      <c r="AC264" s="26"/>
      <c r="AD264" s="26"/>
      <c r="AE264" s="26"/>
      <c r="AF264" s="26"/>
      <c r="AG264" s="26"/>
      <c r="AH264" s="26"/>
      <c r="AI264" s="26"/>
    </row>
    <row r="265" spans="2:35" x14ac:dyDescent="0.35">
      <c r="B265" s="24"/>
      <c r="C265" s="24"/>
      <c r="D265" s="24"/>
      <c r="E265" s="24"/>
      <c r="F265" s="24"/>
      <c r="G265" s="24"/>
      <c r="H265" s="24"/>
      <c r="I265" s="24"/>
      <c r="J265" s="24"/>
      <c r="K265" s="24"/>
      <c r="L265" s="24"/>
      <c r="M265" s="24"/>
      <c r="N265" s="24"/>
      <c r="O265" s="24"/>
      <c r="P265" s="24"/>
      <c r="Q265" s="24"/>
      <c r="R265" s="24"/>
      <c r="S265" s="24"/>
      <c r="T265" s="24"/>
      <c r="U265" s="24"/>
      <c r="V265" s="24"/>
      <c r="W265" s="24"/>
      <c r="X265" s="26"/>
      <c r="Y265" s="26"/>
      <c r="Z265" s="26"/>
      <c r="AA265" s="26"/>
      <c r="AB265" s="26"/>
      <c r="AC265" s="26"/>
      <c r="AD265" s="26"/>
      <c r="AE265" s="26"/>
      <c r="AF265" s="26"/>
      <c r="AG265" s="26"/>
      <c r="AH265" s="26"/>
      <c r="AI265" s="26"/>
    </row>
    <row r="266" spans="2:35" x14ac:dyDescent="0.35">
      <c r="B266" s="24"/>
      <c r="C266" s="24"/>
      <c r="D266" s="24"/>
      <c r="E266" s="24"/>
      <c r="F266" s="24"/>
      <c r="G266" s="24"/>
      <c r="H266" s="24"/>
      <c r="I266" s="24"/>
      <c r="J266" s="24"/>
      <c r="K266" s="24"/>
      <c r="L266" s="24"/>
      <c r="M266" s="24"/>
      <c r="N266" s="24"/>
      <c r="O266" s="24"/>
      <c r="P266" s="24"/>
      <c r="Q266" s="24"/>
      <c r="R266" s="24"/>
      <c r="S266" s="24"/>
      <c r="T266" s="24"/>
      <c r="U266" s="24"/>
      <c r="V266" s="24"/>
      <c r="W266" s="24"/>
      <c r="X266" s="26"/>
      <c r="Y266" s="26"/>
      <c r="Z266" s="26"/>
      <c r="AA266" s="26"/>
      <c r="AB266" s="26"/>
      <c r="AC266" s="26"/>
      <c r="AD266" s="26"/>
      <c r="AE266" s="26"/>
      <c r="AF266" s="26"/>
      <c r="AG266" s="26"/>
      <c r="AH266" s="26"/>
      <c r="AI266" s="26"/>
    </row>
    <row r="267" spans="2:35" x14ac:dyDescent="0.35">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row>
    <row r="268" spans="2:35" x14ac:dyDescent="0.35">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row>
  </sheetData>
  <mergeCells count="26">
    <mergeCell ref="C30:G30"/>
    <mergeCell ref="F32:G32"/>
    <mergeCell ref="F28:G28"/>
    <mergeCell ref="F23:G23"/>
    <mergeCell ref="F24:G24"/>
    <mergeCell ref="F25:G25"/>
    <mergeCell ref="F26:G26"/>
    <mergeCell ref="F27:G27"/>
    <mergeCell ref="C3:K3"/>
    <mergeCell ref="F11:G11"/>
    <mergeCell ref="F12:G12"/>
    <mergeCell ref="F21:G21"/>
    <mergeCell ref="F22:G22"/>
    <mergeCell ref="F13:G13"/>
    <mergeCell ref="F14:G14"/>
    <mergeCell ref="F15:G15"/>
    <mergeCell ref="F16:G16"/>
    <mergeCell ref="F17:G17"/>
    <mergeCell ref="F18:G18"/>
    <mergeCell ref="F38:G38"/>
    <mergeCell ref="F39:G39"/>
    <mergeCell ref="F33:G33"/>
    <mergeCell ref="F34:G34"/>
    <mergeCell ref="F35:G35"/>
    <mergeCell ref="F36:G36"/>
    <mergeCell ref="F37:G37"/>
  </mergeCells>
  <pageMargins left="0.7" right="0.7" top="0.75" bottom="0.75" header="0.3" footer="0.3"/>
  <pageSetup paperSize="9" orientation="portrait" horizontalDpi="4294967293"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F0D21-12C5-4CFE-B646-8FEC3BEED84C}">
  <sheetPr>
    <tabColor theme="5" tint="-0.499984740745262"/>
  </sheetPr>
  <dimension ref="A3:A12"/>
  <sheetViews>
    <sheetView zoomScale="120" zoomScaleNormal="120" workbookViewId="0">
      <selection activeCell="A3" sqref="A3"/>
    </sheetView>
  </sheetViews>
  <sheetFormatPr defaultRowHeight="14.5" x14ac:dyDescent="0.35"/>
  <sheetData>
    <row r="3" spans="1:1" x14ac:dyDescent="0.35">
      <c r="A3" t="s">
        <v>493</v>
      </c>
    </row>
    <row r="12" spans="1:1" ht="15.5" customHeight="1" x14ac:dyDescent="0.3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41723-6F48-4CDA-B946-2E91A8A30DFE}">
  <sheetPr>
    <tabColor rgb="FF7030A0"/>
  </sheetPr>
  <dimension ref="C3:V40"/>
  <sheetViews>
    <sheetView topLeftCell="B21" zoomScale="99" zoomScaleNormal="99" workbookViewId="0">
      <selection activeCell="F31" sqref="F31"/>
    </sheetView>
  </sheetViews>
  <sheetFormatPr defaultColWidth="9.1796875" defaultRowHeight="14.5" x14ac:dyDescent="0.35"/>
  <cols>
    <col min="1" max="1" width="0" style="9" hidden="1" customWidth="1"/>
    <col min="2" max="5" width="9.1796875" style="9"/>
    <col min="6" max="7" width="10.81640625" style="9" bestFit="1" customWidth="1"/>
    <col min="8" max="8" width="9.26953125" style="9" customWidth="1"/>
    <col min="9" max="10" width="9.1796875" style="9"/>
    <col min="11" max="12" width="9.7265625" style="9" customWidth="1"/>
    <col min="13" max="13" width="11.26953125" style="9" customWidth="1"/>
    <col min="14" max="14" width="10.54296875" style="9" customWidth="1"/>
    <col min="15" max="16" width="9.7265625" style="9" customWidth="1"/>
    <col min="17" max="18" width="9.1796875" style="9"/>
    <col min="19" max="19" width="18.453125" style="9" customWidth="1"/>
    <col min="20" max="20" width="15.7265625" style="9" customWidth="1"/>
    <col min="21" max="21" width="13.81640625" style="9" customWidth="1"/>
    <col min="22" max="22" width="13.7265625" style="9" customWidth="1"/>
    <col min="23" max="23" width="13.54296875" style="9" customWidth="1"/>
    <col min="24" max="16384" width="9.1796875" style="9"/>
  </cols>
  <sheetData>
    <row r="3" spans="3:22" ht="25.5" x14ac:dyDescent="0.55000000000000004">
      <c r="C3" s="187" t="s">
        <v>50</v>
      </c>
      <c r="D3" s="188"/>
      <c r="E3" s="188"/>
      <c r="F3" s="188"/>
      <c r="G3" s="188"/>
      <c r="H3" s="188"/>
      <c r="I3" s="188"/>
      <c r="J3" s="189"/>
    </row>
    <row r="7" spans="3:22" x14ac:dyDescent="0.35">
      <c r="J7" s="10"/>
      <c r="K7" s="10"/>
      <c r="L7" s="10"/>
    </row>
    <row r="8" spans="3:22" x14ac:dyDescent="0.35">
      <c r="J8" s="10"/>
      <c r="K8" s="10"/>
      <c r="L8" s="10"/>
    </row>
    <row r="9" spans="3:22" x14ac:dyDescent="0.35">
      <c r="J9" s="10"/>
      <c r="K9" s="10"/>
      <c r="L9" s="10"/>
    </row>
    <row r="10" spans="3:22" x14ac:dyDescent="0.35">
      <c r="J10" s="10"/>
      <c r="K10" s="10"/>
      <c r="L10" s="10"/>
    </row>
    <row r="11" spans="3:22" x14ac:dyDescent="0.35">
      <c r="J11" s="10"/>
      <c r="K11" s="10"/>
      <c r="L11" s="10"/>
      <c r="M11" s="43" t="s">
        <v>306</v>
      </c>
      <c r="N11" s="43" t="s">
        <v>305</v>
      </c>
      <c r="O11" s="43" t="s">
        <v>307</v>
      </c>
      <c r="P11" s="43" t="s">
        <v>308</v>
      </c>
      <c r="Q11" s="43" t="s">
        <v>294</v>
      </c>
      <c r="S11" s="46" t="s">
        <v>320</v>
      </c>
      <c r="T11" s="46" t="s">
        <v>321</v>
      </c>
      <c r="U11" s="46" t="s">
        <v>322</v>
      </c>
      <c r="V11" s="46" t="s">
        <v>323</v>
      </c>
    </row>
    <row r="12" spans="3:22" x14ac:dyDescent="0.35">
      <c r="C12" s="13" t="s">
        <v>19</v>
      </c>
      <c r="D12" s="14" t="str">
        <f>VLOOKUP(C12,$G$12:$H$18,2,)</f>
        <v>Orange</v>
      </c>
      <c r="G12" s="13" t="s">
        <v>19</v>
      </c>
      <c r="H12" s="14" t="s">
        <v>57</v>
      </c>
      <c r="J12" s="10"/>
      <c r="K12" s="10"/>
      <c r="L12" s="10"/>
      <c r="M12" s="44" t="s">
        <v>297</v>
      </c>
      <c r="N12" s="44" t="s">
        <v>309</v>
      </c>
      <c r="O12" s="44">
        <v>5</v>
      </c>
      <c r="P12" s="44">
        <v>35</v>
      </c>
      <c r="Q12" s="44">
        <v>2017</v>
      </c>
      <c r="R12" s="45"/>
      <c r="S12" s="48" t="str">
        <f>VLOOKUP(S13,$M$12:$Q$22,2,FALSE)</f>
        <v>6500cc</v>
      </c>
      <c r="T12" s="48">
        <f>VLOOKUP(T13,$M$12:$Q$22,3,FALSE)</f>
        <v>3</v>
      </c>
      <c r="U12" s="48">
        <f>VLOOKUP(U13,$M$12:$Q$22,4,FALSE)</f>
        <v>15</v>
      </c>
      <c r="V12" s="48">
        <f>VLOOKUP(V13,$M$12:$Q$22,5, FALSE)</f>
        <v>2020</v>
      </c>
    </row>
    <row r="13" spans="3:22" x14ac:dyDescent="0.35">
      <c r="C13" s="13" t="s">
        <v>51</v>
      </c>
      <c r="D13" s="14" t="str">
        <f>VLOOKUP(C13,$G$12:$H$18,2,)</f>
        <v>Blue</v>
      </c>
      <c r="F13" s="11"/>
      <c r="G13" s="13" t="s">
        <v>51</v>
      </c>
      <c r="H13" s="14" t="s">
        <v>58</v>
      </c>
      <c r="J13" s="10"/>
      <c r="M13" s="44" t="s">
        <v>268</v>
      </c>
      <c r="N13" s="44" t="s">
        <v>310</v>
      </c>
      <c r="O13" s="44">
        <v>5</v>
      </c>
      <c r="P13" s="44">
        <v>29</v>
      </c>
      <c r="Q13" s="44">
        <v>2020</v>
      </c>
      <c r="R13" s="45"/>
      <c r="S13" s="48" t="s">
        <v>492</v>
      </c>
      <c r="T13" s="48" t="s">
        <v>492</v>
      </c>
      <c r="U13" s="48" t="s">
        <v>492</v>
      </c>
      <c r="V13" s="48" t="s">
        <v>492</v>
      </c>
    </row>
    <row r="14" spans="3:22" x14ac:dyDescent="0.35">
      <c r="C14" s="13" t="s">
        <v>52</v>
      </c>
      <c r="D14" s="14" t="str">
        <f t="shared" ref="D13:D18" si="0">VLOOKUP(C14,$G$12:$H$18,2,)</f>
        <v>Green</v>
      </c>
      <c r="F14" s="11"/>
      <c r="G14" s="13" t="s">
        <v>52</v>
      </c>
      <c r="H14" s="14" t="s">
        <v>59</v>
      </c>
      <c r="J14" s="10"/>
      <c r="M14" s="44" t="s">
        <v>269</v>
      </c>
      <c r="N14" s="44" t="s">
        <v>311</v>
      </c>
      <c r="O14" s="44">
        <v>5</v>
      </c>
      <c r="P14" s="44">
        <v>42</v>
      </c>
      <c r="Q14" s="44">
        <v>2016</v>
      </c>
      <c r="S14" s="47"/>
      <c r="T14" s="47"/>
    </row>
    <row r="15" spans="3:22" x14ac:dyDescent="0.35">
      <c r="C15" s="13" t="s">
        <v>53</v>
      </c>
      <c r="D15" s="14" t="str">
        <f t="shared" si="0"/>
        <v>Red</v>
      </c>
      <c r="F15" s="11"/>
      <c r="G15" s="13" t="s">
        <v>53</v>
      </c>
      <c r="H15" s="14" t="s">
        <v>60</v>
      </c>
      <c r="J15" s="10"/>
      <c r="M15" s="44" t="s">
        <v>298</v>
      </c>
      <c r="N15" s="44" t="s">
        <v>312</v>
      </c>
      <c r="O15" s="44">
        <v>3</v>
      </c>
      <c r="P15" s="44">
        <v>56</v>
      </c>
      <c r="Q15" s="44">
        <v>2017</v>
      </c>
    </row>
    <row r="16" spans="3:22" x14ac:dyDescent="0.35">
      <c r="C16" s="13" t="s">
        <v>54</v>
      </c>
      <c r="D16" s="14" t="str">
        <f t="shared" si="0"/>
        <v>Purple</v>
      </c>
      <c r="F16" s="11"/>
      <c r="G16" s="13" t="s">
        <v>54</v>
      </c>
      <c r="H16" s="14" t="s">
        <v>61</v>
      </c>
      <c r="J16" s="10"/>
      <c r="M16" s="44" t="s">
        <v>299</v>
      </c>
      <c r="N16" s="44" t="s">
        <v>313</v>
      </c>
      <c r="O16" s="44">
        <v>3</v>
      </c>
      <c r="P16" s="44">
        <v>31</v>
      </c>
      <c r="Q16" s="44">
        <v>2018</v>
      </c>
    </row>
    <row r="17" spans="3:21" x14ac:dyDescent="0.35">
      <c r="C17" s="13" t="s">
        <v>55</v>
      </c>
      <c r="D17" s="14" t="str">
        <f t="shared" si="0"/>
        <v>Brown</v>
      </c>
      <c r="F17" s="11"/>
      <c r="G17" s="13" t="s">
        <v>55</v>
      </c>
      <c r="H17" s="14" t="s">
        <v>62</v>
      </c>
      <c r="J17" s="10"/>
      <c r="M17" s="44" t="s">
        <v>272</v>
      </c>
      <c r="N17" s="44" t="s">
        <v>314</v>
      </c>
      <c r="O17" s="44">
        <v>5</v>
      </c>
      <c r="P17" s="44">
        <v>20</v>
      </c>
      <c r="Q17" s="44">
        <v>2015</v>
      </c>
    </row>
    <row r="18" spans="3:21" x14ac:dyDescent="0.35">
      <c r="C18" s="12" t="s">
        <v>56</v>
      </c>
      <c r="D18" s="14" t="str">
        <f t="shared" si="0"/>
        <v>Pink</v>
      </c>
      <c r="F18" s="11"/>
      <c r="G18" s="12" t="s">
        <v>56</v>
      </c>
      <c r="H18" s="15" t="s">
        <v>63</v>
      </c>
      <c r="M18" s="44" t="s">
        <v>300</v>
      </c>
      <c r="N18" s="44" t="s">
        <v>315</v>
      </c>
      <c r="O18" s="44">
        <v>3</v>
      </c>
      <c r="P18" s="44">
        <v>15</v>
      </c>
      <c r="Q18" s="44">
        <v>2020</v>
      </c>
      <c r="U18" s="9" t="s">
        <v>48</v>
      </c>
    </row>
    <row r="19" spans="3:21" x14ac:dyDescent="0.35">
      <c r="D19" s="11"/>
      <c r="E19" s="11"/>
      <c r="F19" s="11"/>
      <c r="J19" s="10"/>
      <c r="M19" s="44" t="s">
        <v>301</v>
      </c>
      <c r="N19" s="44" t="s">
        <v>316</v>
      </c>
      <c r="O19" s="44">
        <v>5</v>
      </c>
      <c r="P19" s="44">
        <v>29</v>
      </c>
      <c r="Q19" s="44">
        <v>2021</v>
      </c>
    </row>
    <row r="20" spans="3:21" x14ac:dyDescent="0.35">
      <c r="C20" s="11"/>
      <c r="D20" s="11"/>
      <c r="E20" s="11"/>
      <c r="F20" s="11"/>
      <c r="J20" s="10"/>
      <c r="M20" s="44" t="s">
        <v>302</v>
      </c>
      <c r="N20" s="44" t="s">
        <v>317</v>
      </c>
      <c r="O20" s="44">
        <v>3</v>
      </c>
      <c r="P20" s="44">
        <v>61</v>
      </c>
      <c r="Q20" s="44">
        <v>2021</v>
      </c>
    </row>
    <row r="21" spans="3:21" x14ac:dyDescent="0.35">
      <c r="C21" s="11"/>
      <c r="D21" s="11"/>
      <c r="E21" s="11"/>
      <c r="F21" s="11"/>
      <c r="M21" s="44" t="s">
        <v>303</v>
      </c>
      <c r="N21" s="44" t="s">
        <v>318</v>
      </c>
      <c r="O21" s="44">
        <v>3</v>
      </c>
      <c r="P21" s="44">
        <v>35</v>
      </c>
      <c r="Q21" s="44">
        <v>2015</v>
      </c>
    </row>
    <row r="22" spans="3:21" x14ac:dyDescent="0.35">
      <c r="C22" s="11"/>
      <c r="D22" s="11"/>
      <c r="E22" s="11"/>
      <c r="F22" s="11"/>
      <c r="M22" s="44" t="s">
        <v>304</v>
      </c>
      <c r="N22" s="44" t="s">
        <v>319</v>
      </c>
      <c r="O22" s="44">
        <v>5</v>
      </c>
      <c r="P22" s="44">
        <v>61</v>
      </c>
      <c r="Q22" s="44">
        <v>2016</v>
      </c>
    </row>
    <row r="23" spans="3:21" x14ac:dyDescent="0.35">
      <c r="C23" s="13" t="s">
        <v>19</v>
      </c>
      <c r="D23" s="14" t="str">
        <f>VLOOKUP(C23,$G$23:$H$29,2,FALSE)</f>
        <v>Orange</v>
      </c>
      <c r="E23" s="11"/>
      <c r="F23" s="11"/>
      <c r="G23" s="13" t="s">
        <v>19</v>
      </c>
      <c r="H23" s="14" t="s">
        <v>57</v>
      </c>
    </row>
    <row r="24" spans="3:21" x14ac:dyDescent="0.35">
      <c r="C24" s="13" t="s">
        <v>51</v>
      </c>
      <c r="D24" s="14" t="str">
        <f>VLOOKUP(C24,$G$23:$H$29,2,FALSE)</f>
        <v>Blue</v>
      </c>
      <c r="E24" s="11"/>
      <c r="F24" s="11"/>
      <c r="G24" s="13" t="s">
        <v>51</v>
      </c>
      <c r="H24" s="14" t="s">
        <v>58</v>
      </c>
    </row>
    <row r="25" spans="3:21" x14ac:dyDescent="0.35">
      <c r="C25" s="13" t="s">
        <v>52</v>
      </c>
      <c r="D25" s="14" t="str">
        <f>VLOOKUP(C25,$G$23:$H$29,2,FALSE)</f>
        <v>Green</v>
      </c>
      <c r="E25" s="11"/>
      <c r="F25" s="11"/>
      <c r="G25" s="13" t="s">
        <v>52</v>
      </c>
      <c r="H25" s="14" t="s">
        <v>59</v>
      </c>
    </row>
    <row r="26" spans="3:21" x14ac:dyDescent="0.35">
      <c r="C26" s="13" t="s">
        <v>53</v>
      </c>
      <c r="D26" s="14" t="str">
        <f>VLOOKUP(C26,$G$23:$H$29,2,FALSE)</f>
        <v>Red</v>
      </c>
      <c r="G26" s="13" t="s">
        <v>53</v>
      </c>
      <c r="H26" s="14" t="s">
        <v>60</v>
      </c>
    </row>
    <row r="27" spans="3:21" x14ac:dyDescent="0.35">
      <c r="C27" s="13" t="s">
        <v>54</v>
      </c>
      <c r="D27" s="14" t="str">
        <f t="shared" ref="D27:D29" si="1">VLOOKUP(C27,$G$23:$H$29,2,FALSE)</f>
        <v>Purple</v>
      </c>
      <c r="G27" s="13" t="s">
        <v>54</v>
      </c>
      <c r="H27" s="14" t="s">
        <v>61</v>
      </c>
    </row>
    <row r="28" spans="3:21" x14ac:dyDescent="0.35">
      <c r="C28" s="13" t="s">
        <v>55</v>
      </c>
      <c r="D28" s="14" t="str">
        <f t="shared" si="1"/>
        <v>Brown</v>
      </c>
      <c r="G28" s="13" t="s">
        <v>55</v>
      </c>
      <c r="H28" s="14" t="s">
        <v>62</v>
      </c>
    </row>
    <row r="29" spans="3:21" x14ac:dyDescent="0.35">
      <c r="C29" s="12" t="s">
        <v>56</v>
      </c>
      <c r="D29" s="14" t="str">
        <f t="shared" si="1"/>
        <v>Pink</v>
      </c>
      <c r="G29" s="12" t="s">
        <v>56</v>
      </c>
      <c r="H29" s="15" t="s">
        <v>63</v>
      </c>
    </row>
    <row r="30" spans="3:21" x14ac:dyDescent="0.35">
      <c r="G30" s="11"/>
    </row>
    <row r="31" spans="3:21" x14ac:dyDescent="0.35">
      <c r="G31" s="11"/>
    </row>
    <row r="32" spans="3:21" x14ac:dyDescent="0.35">
      <c r="G32" s="11"/>
    </row>
    <row r="34" spans="3:8" x14ac:dyDescent="0.35">
      <c r="C34" s="13" t="s">
        <v>19</v>
      </c>
      <c r="D34" s="14" t="str">
        <f>VLOOKUP(C34,$G$34:$H$40,2,FALSE)</f>
        <v>Orange</v>
      </c>
      <c r="G34" s="13" t="s">
        <v>19</v>
      </c>
      <c r="H34" s="14" t="s">
        <v>57</v>
      </c>
    </row>
    <row r="35" spans="3:8" x14ac:dyDescent="0.35">
      <c r="C35" s="13" t="s">
        <v>55</v>
      </c>
      <c r="D35" s="14" t="str">
        <f t="shared" ref="D35:D40" si="2">VLOOKUP(C35,$G$34:$H$40,2,FALSE)</f>
        <v>Brown</v>
      </c>
      <c r="G35" s="13" t="s">
        <v>51</v>
      </c>
      <c r="H35" s="14" t="s">
        <v>58</v>
      </c>
    </row>
    <row r="36" spans="3:8" x14ac:dyDescent="0.35">
      <c r="C36" s="13" t="s">
        <v>54</v>
      </c>
      <c r="D36" s="14" t="str">
        <f t="shared" si="2"/>
        <v>Purple</v>
      </c>
      <c r="G36" s="13" t="s">
        <v>52</v>
      </c>
      <c r="H36" s="14" t="s">
        <v>59</v>
      </c>
    </row>
    <row r="37" spans="3:8" x14ac:dyDescent="0.35">
      <c r="C37" s="13" t="s">
        <v>56</v>
      </c>
      <c r="D37" s="14" t="str">
        <f t="shared" si="2"/>
        <v>Pink</v>
      </c>
      <c r="G37" s="13" t="s">
        <v>53</v>
      </c>
      <c r="H37" s="14" t="s">
        <v>60</v>
      </c>
    </row>
    <row r="38" spans="3:8" x14ac:dyDescent="0.35">
      <c r="C38" s="13" t="s">
        <v>52</v>
      </c>
      <c r="D38" s="14" t="str">
        <f t="shared" si="2"/>
        <v>Green</v>
      </c>
      <c r="G38" s="13" t="s">
        <v>54</v>
      </c>
      <c r="H38" s="14" t="s">
        <v>61</v>
      </c>
    </row>
    <row r="39" spans="3:8" x14ac:dyDescent="0.35">
      <c r="C39" s="13" t="s">
        <v>51</v>
      </c>
      <c r="D39" s="14" t="str">
        <f t="shared" si="2"/>
        <v>Blue</v>
      </c>
      <c r="G39" s="13" t="s">
        <v>55</v>
      </c>
      <c r="H39" s="14" t="s">
        <v>62</v>
      </c>
    </row>
    <row r="40" spans="3:8" x14ac:dyDescent="0.35">
      <c r="C40" s="12" t="s">
        <v>53</v>
      </c>
      <c r="D40" s="14" t="str">
        <f t="shared" si="2"/>
        <v>Red</v>
      </c>
      <c r="G40" s="12" t="s">
        <v>56</v>
      </c>
      <c r="H40" s="15" t="s">
        <v>63</v>
      </c>
    </row>
  </sheetData>
  <mergeCells count="1">
    <mergeCell ref="C3:J3"/>
  </mergeCells>
  <conditionalFormatting sqref="D12:D18">
    <cfRule type="cellIs" dxfId="54" priority="72" operator="equal">
      <formula>"Orange"</formula>
    </cfRule>
    <cfRule type="cellIs" dxfId="53" priority="71" operator="equal">
      <formula>"Blue"</formula>
    </cfRule>
    <cfRule type="cellIs" dxfId="52" priority="70" operator="equal">
      <formula>"Green"</formula>
    </cfRule>
    <cfRule type="cellIs" dxfId="51" priority="69" operator="equal">
      <formula>"Red"</formula>
    </cfRule>
    <cfRule type="cellIs" dxfId="50" priority="68" operator="equal">
      <formula>"Purple"</formula>
    </cfRule>
    <cfRule type="cellIs" dxfId="49" priority="67" operator="equal">
      <formula>"Brown"</formula>
    </cfRule>
    <cfRule type="cellIs" dxfId="48" priority="66" operator="equal">
      <formula>"Brown"</formula>
    </cfRule>
    <cfRule type="cellIs" dxfId="47" priority="65" operator="equal">
      <formula>"Pink"</formula>
    </cfRule>
  </conditionalFormatting>
  <conditionalFormatting sqref="D23:D29">
    <cfRule type="cellIs" dxfId="46" priority="49" operator="equal">
      <formula>"Pink"</formula>
    </cfRule>
    <cfRule type="cellIs" dxfId="45" priority="50" operator="equal">
      <formula>"Brown"</formula>
    </cfRule>
    <cfRule type="cellIs" dxfId="44" priority="51" operator="equal">
      <formula>"Brown"</formula>
    </cfRule>
    <cfRule type="cellIs" dxfId="43" priority="52" operator="equal">
      <formula>"Purple"</formula>
    </cfRule>
    <cfRule type="cellIs" dxfId="42" priority="53" operator="equal">
      <formula>"Red"</formula>
    </cfRule>
    <cfRule type="cellIs" dxfId="41" priority="54" operator="equal">
      <formula>"Green"</formula>
    </cfRule>
    <cfRule type="cellIs" dxfId="40" priority="55" operator="equal">
      <formula>"Blue"</formula>
    </cfRule>
    <cfRule type="cellIs" dxfId="39" priority="56" operator="equal">
      <formula>"Orange"</formula>
    </cfRule>
  </conditionalFormatting>
  <conditionalFormatting sqref="D34:D40">
    <cfRule type="cellIs" dxfId="38" priority="1" operator="equal">
      <formula>"Pink"</formula>
    </cfRule>
    <cfRule type="cellIs" dxfId="37" priority="2" operator="equal">
      <formula>"Brown"</formula>
    </cfRule>
    <cfRule type="cellIs" dxfId="36" priority="3" operator="equal">
      <formula>"Brown"</formula>
    </cfRule>
    <cfRule type="cellIs" dxfId="35" priority="4" operator="equal">
      <formula>"Purple"</formula>
    </cfRule>
    <cfRule type="cellIs" dxfId="34" priority="5" operator="equal">
      <formula>"Red"</formula>
    </cfRule>
    <cfRule type="cellIs" dxfId="33" priority="6" operator="equal">
      <formula>"Green"</formula>
    </cfRule>
    <cfRule type="cellIs" dxfId="32" priority="7" operator="equal">
      <formula>"Blue"</formula>
    </cfRule>
    <cfRule type="cellIs" dxfId="31" priority="8" operator="equal">
      <formula>"Orange"</formula>
    </cfRule>
  </conditionalFormatting>
  <conditionalFormatting sqref="H12:H18">
    <cfRule type="cellIs" dxfId="30" priority="74" operator="equal">
      <formula>"Brown"</formula>
    </cfRule>
    <cfRule type="cellIs" dxfId="29" priority="73" operator="equal">
      <formula>"Pink"</formula>
    </cfRule>
    <cfRule type="cellIs" dxfId="28" priority="75" operator="equal">
      <formula>"Brown"</formula>
    </cfRule>
    <cfRule type="cellIs" dxfId="27" priority="76" operator="equal">
      <formula>"Purple"</formula>
    </cfRule>
    <cfRule type="cellIs" dxfId="26" priority="77" operator="equal">
      <formula>"Red"</formula>
    </cfRule>
    <cfRule type="cellIs" dxfId="25" priority="78" operator="equal">
      <formula>"Green"</formula>
    </cfRule>
    <cfRule type="cellIs" dxfId="24" priority="79" operator="equal">
      <formula>"Blue"</formula>
    </cfRule>
    <cfRule type="cellIs" dxfId="23" priority="80" operator="equal">
      <formula>"Orange"</formula>
    </cfRule>
  </conditionalFormatting>
  <conditionalFormatting sqref="H23:H29">
    <cfRule type="cellIs" dxfId="22" priority="58" operator="equal">
      <formula>"Brown"</formula>
    </cfRule>
    <cfRule type="cellIs" dxfId="21" priority="57" operator="equal">
      <formula>"Pink"</formula>
    </cfRule>
    <cfRule type="cellIs" dxfId="20" priority="59" operator="equal">
      <formula>"Brown"</formula>
    </cfRule>
    <cfRule type="cellIs" dxfId="19" priority="60" operator="equal">
      <formula>"Purple"</formula>
    </cfRule>
    <cfRule type="cellIs" dxfId="18" priority="61" operator="equal">
      <formula>"Red"</formula>
    </cfRule>
    <cfRule type="cellIs" dxfId="17" priority="62" operator="equal">
      <formula>"Green"</formula>
    </cfRule>
    <cfRule type="cellIs" dxfId="16" priority="63" operator="equal">
      <formula>"Blue"</formula>
    </cfRule>
    <cfRule type="cellIs" dxfId="15" priority="64" operator="equal">
      <formula>"Orange"</formula>
    </cfRule>
  </conditionalFormatting>
  <conditionalFormatting sqref="H34:H40">
    <cfRule type="cellIs" dxfId="14" priority="40" operator="equal">
      <formula>"Orange"</formula>
    </cfRule>
    <cfRule type="cellIs" dxfId="13" priority="39" operator="equal">
      <formula>"Blue"</formula>
    </cfRule>
    <cfRule type="cellIs" dxfId="12" priority="38" operator="equal">
      <formula>"Green"</formula>
    </cfRule>
    <cfRule type="cellIs" dxfId="11" priority="37" operator="equal">
      <formula>"Red"</formula>
    </cfRule>
    <cfRule type="cellIs" dxfId="10" priority="36" operator="equal">
      <formula>"Purple"</formula>
    </cfRule>
    <cfRule type="cellIs" dxfId="9" priority="35" operator="equal">
      <formula>"Brown"</formula>
    </cfRule>
    <cfRule type="cellIs" dxfId="8" priority="34" operator="equal">
      <formula>"Brown"</formula>
    </cfRule>
    <cfRule type="cellIs" dxfId="7" priority="33" operator="equal">
      <formula>"Pink"</formula>
    </cfRule>
  </conditionalFormatting>
  <pageMargins left="0.7" right="0.7" top="0.75" bottom="0.75" header="0.3" footer="0.3"/>
  <pageSetup paperSize="9" orientation="portrait" horizontalDpi="4294967293"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DCD41-A8A3-4D51-B922-3539DC087C01}">
  <sheetPr>
    <tabColor rgb="FFFF33CC"/>
  </sheetPr>
  <dimension ref="B4:K175"/>
  <sheetViews>
    <sheetView topLeftCell="A33" zoomScale="110" zoomScaleNormal="110" workbookViewId="0">
      <selection activeCell="J163" sqref="J163"/>
    </sheetView>
  </sheetViews>
  <sheetFormatPr defaultRowHeight="14.5" outlineLevelRow="2" x14ac:dyDescent="0.35"/>
  <cols>
    <col min="2" max="2" width="13.26953125" bestFit="1" customWidth="1"/>
    <col min="3" max="3" width="10.7265625" bestFit="1" customWidth="1"/>
    <col min="5" max="5" width="17.453125" bestFit="1" customWidth="1"/>
    <col min="7" max="7" width="10.81640625" bestFit="1" customWidth="1"/>
    <col min="8" max="8" width="11.7265625" bestFit="1" customWidth="1"/>
    <col min="10" max="10" width="12" bestFit="1" customWidth="1"/>
  </cols>
  <sheetData>
    <row r="4" spans="2:11" ht="23.5" x14ac:dyDescent="0.55000000000000004">
      <c r="B4" s="190" t="s">
        <v>296</v>
      </c>
      <c r="C4" s="190"/>
      <c r="D4" s="190"/>
      <c r="E4" s="190"/>
      <c r="F4" s="190"/>
      <c r="G4" s="190"/>
      <c r="H4" s="190"/>
      <c r="I4" s="190"/>
      <c r="J4" s="190"/>
      <c r="K4" s="190"/>
    </row>
    <row r="7" spans="2:11" ht="15.5" x14ac:dyDescent="0.35">
      <c r="B7" s="28" t="s">
        <v>86</v>
      </c>
      <c r="C7" s="28" t="s">
        <v>87</v>
      </c>
      <c r="D7" s="28" t="s">
        <v>88</v>
      </c>
      <c r="E7" s="28" t="s">
        <v>89</v>
      </c>
      <c r="F7" s="28" t="s">
        <v>90</v>
      </c>
      <c r="G7" s="28" t="s">
        <v>91</v>
      </c>
      <c r="H7" s="28" t="s">
        <v>92</v>
      </c>
      <c r="J7" t="s">
        <v>88</v>
      </c>
      <c r="K7" s="30">
        <v>649.95000000000005</v>
      </c>
    </row>
    <row r="8" spans="2:11" outlineLevel="2" x14ac:dyDescent="0.35">
      <c r="B8" s="29" t="s">
        <v>93</v>
      </c>
      <c r="C8" s="1" t="s">
        <v>94</v>
      </c>
      <c r="D8" s="1">
        <v>3</v>
      </c>
      <c r="E8" s="1">
        <v>7</v>
      </c>
      <c r="F8" s="1">
        <v>6</v>
      </c>
      <c r="G8" s="1">
        <v>8</v>
      </c>
      <c r="H8" s="111">
        <f t="shared" ref="H8:H49" si="0">($K$7*D8)+($K$8*E8)+($K$9*F8)+($K$10*G8)</f>
        <v>5741.47</v>
      </c>
      <c r="J8" t="s">
        <v>89</v>
      </c>
      <c r="K8" s="30">
        <v>268</v>
      </c>
    </row>
    <row r="9" spans="2:11" outlineLevel="2" x14ac:dyDescent="0.35">
      <c r="B9" s="29" t="s">
        <v>97</v>
      </c>
      <c r="C9" s="1" t="s">
        <v>94</v>
      </c>
      <c r="D9" s="1">
        <v>8</v>
      </c>
      <c r="E9" s="1">
        <v>5</v>
      </c>
      <c r="F9" s="1">
        <v>2</v>
      </c>
      <c r="G9" s="1">
        <v>7</v>
      </c>
      <c r="H9" s="111">
        <f t="shared" si="0"/>
        <v>7578.93</v>
      </c>
      <c r="J9" t="s">
        <v>90</v>
      </c>
      <c r="K9" s="30">
        <v>195.95</v>
      </c>
    </row>
    <row r="10" spans="2:11" outlineLevel="2" x14ac:dyDescent="0.35">
      <c r="B10" s="1" t="s">
        <v>100</v>
      </c>
      <c r="C10" s="1" t="s">
        <v>94</v>
      </c>
      <c r="D10" s="1">
        <v>5</v>
      </c>
      <c r="E10" s="1">
        <v>3</v>
      </c>
      <c r="F10" s="1">
        <v>2</v>
      </c>
      <c r="G10" s="1">
        <v>3</v>
      </c>
      <c r="H10" s="111">
        <f t="shared" si="0"/>
        <v>4723.12</v>
      </c>
      <c r="J10" t="s">
        <v>91</v>
      </c>
      <c r="K10" s="30">
        <v>92.49</v>
      </c>
    </row>
    <row r="11" spans="2:11" outlineLevel="2" x14ac:dyDescent="0.35">
      <c r="B11" s="1" t="s">
        <v>101</v>
      </c>
      <c r="C11" s="1" t="s">
        <v>94</v>
      </c>
      <c r="D11" s="1">
        <v>7</v>
      </c>
      <c r="E11" s="1">
        <v>7</v>
      </c>
      <c r="F11" s="1">
        <v>9</v>
      </c>
      <c r="G11" s="1">
        <v>7</v>
      </c>
      <c r="H11" s="111">
        <f t="shared" si="0"/>
        <v>8836.630000000001</v>
      </c>
    </row>
    <row r="12" spans="2:11" outlineLevel="2" x14ac:dyDescent="0.35">
      <c r="B12" s="29" t="s">
        <v>104</v>
      </c>
      <c r="C12" s="1" t="s">
        <v>94</v>
      </c>
      <c r="D12" s="1">
        <v>8</v>
      </c>
      <c r="E12" s="1">
        <v>5</v>
      </c>
      <c r="F12" s="1">
        <v>5</v>
      </c>
      <c r="G12" s="1">
        <v>2</v>
      </c>
      <c r="H12" s="111">
        <f t="shared" si="0"/>
        <v>7704.33</v>
      </c>
    </row>
    <row r="13" spans="2:11" outlineLevel="2" x14ac:dyDescent="0.35">
      <c r="B13" s="1" t="s">
        <v>106</v>
      </c>
      <c r="C13" s="1" t="s">
        <v>94</v>
      </c>
      <c r="D13" s="1">
        <v>8</v>
      </c>
      <c r="E13" s="1">
        <v>7</v>
      </c>
      <c r="F13" s="1">
        <v>6</v>
      </c>
      <c r="G13" s="1">
        <v>8</v>
      </c>
      <c r="H13" s="111">
        <f t="shared" si="0"/>
        <v>8991.2199999999993</v>
      </c>
    </row>
    <row r="14" spans="2:11" outlineLevel="2" x14ac:dyDescent="0.35">
      <c r="B14" s="1" t="s">
        <v>109</v>
      </c>
      <c r="C14" s="1" t="s">
        <v>94</v>
      </c>
      <c r="D14" s="1">
        <v>6</v>
      </c>
      <c r="E14" s="1">
        <v>3</v>
      </c>
      <c r="F14" s="1">
        <v>9</v>
      </c>
      <c r="G14" s="1">
        <v>7</v>
      </c>
      <c r="H14" s="111">
        <f t="shared" si="0"/>
        <v>7114.6800000000012</v>
      </c>
    </row>
    <row r="15" spans="2:11" outlineLevel="2" x14ac:dyDescent="0.35">
      <c r="B15" s="1" t="s">
        <v>110</v>
      </c>
      <c r="C15" s="1" t="s">
        <v>94</v>
      </c>
      <c r="D15" s="1">
        <v>8</v>
      </c>
      <c r="E15" s="1">
        <v>3</v>
      </c>
      <c r="F15" s="1">
        <v>3</v>
      </c>
      <c r="G15" s="1">
        <v>8</v>
      </c>
      <c r="H15" s="111">
        <f t="shared" si="0"/>
        <v>7331.3700000000008</v>
      </c>
    </row>
    <row r="16" spans="2:11" outlineLevel="2" x14ac:dyDescent="0.35">
      <c r="B16" s="1" t="s">
        <v>112</v>
      </c>
      <c r="C16" s="1" t="s">
        <v>94</v>
      </c>
      <c r="D16" s="1">
        <v>6</v>
      </c>
      <c r="E16" s="1">
        <v>3</v>
      </c>
      <c r="F16" s="1">
        <v>0</v>
      </c>
      <c r="G16" s="1">
        <v>5</v>
      </c>
      <c r="H16" s="111">
        <f t="shared" si="0"/>
        <v>5166.1500000000005</v>
      </c>
      <c r="I16" t="str">
        <f>LEFT(G46,K16)</f>
        <v/>
      </c>
      <c r="J16" t="str">
        <f>RIGHT(G46,L16-K16)</f>
        <v/>
      </c>
    </row>
    <row r="17" spans="2:10" outlineLevel="2" x14ac:dyDescent="0.35">
      <c r="B17" s="1" t="s">
        <v>113</v>
      </c>
      <c r="C17" s="1" t="s">
        <v>94</v>
      </c>
      <c r="D17" s="1">
        <v>2</v>
      </c>
      <c r="E17" s="1">
        <v>7</v>
      </c>
      <c r="F17" s="1">
        <v>0</v>
      </c>
      <c r="G17" s="1">
        <v>1</v>
      </c>
      <c r="H17" s="111">
        <f t="shared" si="0"/>
        <v>3268.39</v>
      </c>
      <c r="I17" t="str">
        <f>LEFT(G47,K17)</f>
        <v/>
      </c>
      <c r="J17" t="str">
        <f>RIGHT(G47,L17-K17)</f>
        <v/>
      </c>
    </row>
    <row r="18" spans="2:10" outlineLevel="2" x14ac:dyDescent="0.35">
      <c r="B18" s="1" t="s">
        <v>101</v>
      </c>
      <c r="C18" s="1" t="s">
        <v>94</v>
      </c>
      <c r="D18" s="1">
        <v>6</v>
      </c>
      <c r="E18" s="1">
        <v>7</v>
      </c>
      <c r="F18" s="1">
        <v>8</v>
      </c>
      <c r="G18" s="1">
        <v>5</v>
      </c>
      <c r="H18" s="111">
        <f t="shared" si="0"/>
        <v>7805.7500000000009</v>
      </c>
      <c r="I18" t="str">
        <f>LEFT(G48,K18)</f>
        <v/>
      </c>
      <c r="J18" t="str">
        <f>RIGHT(G48,L18-K18)</f>
        <v/>
      </c>
    </row>
    <row r="19" spans="2:10" outlineLevel="2" x14ac:dyDescent="0.35">
      <c r="B19" s="1" t="s">
        <v>115</v>
      </c>
      <c r="C19" s="1" t="s">
        <v>94</v>
      </c>
      <c r="D19" s="1">
        <v>6</v>
      </c>
      <c r="E19" s="1">
        <v>4</v>
      </c>
      <c r="F19" s="1">
        <v>6</v>
      </c>
      <c r="G19" s="1">
        <v>4</v>
      </c>
      <c r="H19" s="111">
        <f t="shared" si="0"/>
        <v>6517.3600000000006</v>
      </c>
      <c r="I19" t="str">
        <f>LEFT(G49,K19)</f>
        <v/>
      </c>
      <c r="J19" t="str">
        <f>RIGHT(G49,L19-K19)</f>
        <v/>
      </c>
    </row>
    <row r="20" spans="2:10" outlineLevel="2" x14ac:dyDescent="0.35">
      <c r="B20" s="1" t="s">
        <v>116</v>
      </c>
      <c r="C20" s="1" t="s">
        <v>94</v>
      </c>
      <c r="D20" s="1">
        <v>8</v>
      </c>
      <c r="E20" s="1">
        <v>4</v>
      </c>
      <c r="F20" s="1">
        <v>9</v>
      </c>
      <c r="G20" s="1">
        <v>6</v>
      </c>
      <c r="H20" s="111">
        <f t="shared" si="0"/>
        <v>8590.09</v>
      </c>
      <c r="I20" t="str">
        <f>LEFT(G51,K20)</f>
        <v/>
      </c>
      <c r="J20" t="str">
        <f>RIGHT(G51,L20-K20)</f>
        <v/>
      </c>
    </row>
    <row r="21" spans="2:10" outlineLevel="2" x14ac:dyDescent="0.35">
      <c r="B21" s="1" t="s">
        <v>117</v>
      </c>
      <c r="C21" s="1" t="s">
        <v>94</v>
      </c>
      <c r="D21" s="1">
        <v>8</v>
      </c>
      <c r="E21" s="1">
        <v>8</v>
      </c>
      <c r="F21" s="1">
        <v>4</v>
      </c>
      <c r="G21" s="1">
        <v>5</v>
      </c>
      <c r="H21" s="111">
        <f t="shared" si="0"/>
        <v>8589.85</v>
      </c>
      <c r="I21" t="str">
        <f>LEFT(G52,K21)</f>
        <v/>
      </c>
      <c r="J21" t="str">
        <f>RIGHT(G52,L21-K21)</f>
        <v/>
      </c>
    </row>
    <row r="22" spans="2:10" outlineLevel="2" x14ac:dyDescent="0.35">
      <c r="B22" s="1" t="s">
        <v>119</v>
      </c>
      <c r="C22" s="1" t="s">
        <v>94</v>
      </c>
      <c r="D22" s="1">
        <v>2</v>
      </c>
      <c r="E22" s="1">
        <v>7</v>
      </c>
      <c r="F22" s="1">
        <v>6</v>
      </c>
      <c r="G22" s="1">
        <v>4</v>
      </c>
      <c r="H22" s="111">
        <f t="shared" si="0"/>
        <v>4721.5600000000004</v>
      </c>
      <c r="I22" t="str">
        <f>LEFT(G53,K22)</f>
        <v/>
      </c>
      <c r="J22" t="str">
        <f>RIGHT(G53,L22-K22)</f>
        <v/>
      </c>
    </row>
    <row r="23" spans="2:10" outlineLevel="2" x14ac:dyDescent="0.35">
      <c r="B23" s="1" t="s">
        <v>120</v>
      </c>
      <c r="C23" s="1" t="s">
        <v>94</v>
      </c>
      <c r="D23" s="1">
        <v>1</v>
      </c>
      <c r="E23" s="1">
        <v>4</v>
      </c>
      <c r="F23" s="1">
        <v>7</v>
      </c>
      <c r="G23" s="1">
        <v>5</v>
      </c>
      <c r="H23" s="111">
        <f t="shared" si="0"/>
        <v>3556.0499999999997</v>
      </c>
    </row>
    <row r="24" spans="2:10" outlineLevel="2" x14ac:dyDescent="0.35">
      <c r="B24" s="1" t="s">
        <v>121</v>
      </c>
      <c r="C24" s="1" t="s">
        <v>94</v>
      </c>
      <c r="D24" s="1">
        <v>8</v>
      </c>
      <c r="E24" s="1">
        <v>3</v>
      </c>
      <c r="F24" s="1">
        <v>7</v>
      </c>
      <c r="G24" s="1">
        <v>8</v>
      </c>
      <c r="H24" s="111">
        <f t="shared" si="0"/>
        <v>8115.17</v>
      </c>
    </row>
    <row r="25" spans="2:10" outlineLevel="2" x14ac:dyDescent="0.35">
      <c r="B25" s="1" t="s">
        <v>125</v>
      </c>
      <c r="C25" s="1" t="s">
        <v>94</v>
      </c>
      <c r="D25" s="1">
        <v>3</v>
      </c>
      <c r="E25" s="1">
        <v>0</v>
      </c>
      <c r="F25" s="1">
        <v>9</v>
      </c>
      <c r="G25" s="1">
        <v>5</v>
      </c>
      <c r="H25" s="111">
        <f t="shared" si="0"/>
        <v>4175.8500000000004</v>
      </c>
    </row>
    <row r="26" spans="2:10" outlineLevel="2" x14ac:dyDescent="0.35">
      <c r="B26" s="1" t="s">
        <v>129</v>
      </c>
      <c r="C26" s="1" t="s">
        <v>94</v>
      </c>
      <c r="D26" s="1">
        <v>2</v>
      </c>
      <c r="E26" s="1">
        <v>4</v>
      </c>
      <c r="F26" s="1">
        <v>7</v>
      </c>
      <c r="G26" s="1">
        <v>5</v>
      </c>
      <c r="H26" s="111">
        <f t="shared" si="0"/>
        <v>4206</v>
      </c>
    </row>
    <row r="27" spans="2:10" outlineLevel="2" x14ac:dyDescent="0.35">
      <c r="B27" s="1" t="s">
        <v>131</v>
      </c>
      <c r="C27" s="1" t="s">
        <v>94</v>
      </c>
      <c r="D27" s="1">
        <v>7</v>
      </c>
      <c r="E27" s="1">
        <v>8</v>
      </c>
      <c r="F27" s="1">
        <v>2</v>
      </c>
      <c r="G27" s="1">
        <v>7</v>
      </c>
      <c r="H27" s="111">
        <f t="shared" si="0"/>
        <v>7732.9800000000005</v>
      </c>
    </row>
    <row r="28" spans="2:10" outlineLevel="2" x14ac:dyDescent="0.35">
      <c r="B28" s="1" t="s">
        <v>132</v>
      </c>
      <c r="C28" s="1" t="s">
        <v>94</v>
      </c>
      <c r="D28" s="1">
        <v>8</v>
      </c>
      <c r="E28" s="1">
        <v>5</v>
      </c>
      <c r="F28" s="1">
        <v>1</v>
      </c>
      <c r="G28" s="1">
        <v>4</v>
      </c>
      <c r="H28" s="111">
        <f t="shared" si="0"/>
        <v>7105.51</v>
      </c>
    </row>
    <row r="29" spans="2:10" outlineLevel="2" x14ac:dyDescent="0.35">
      <c r="B29" s="1" t="s">
        <v>133</v>
      </c>
      <c r="C29" s="1" t="s">
        <v>94</v>
      </c>
      <c r="D29" s="1">
        <v>7</v>
      </c>
      <c r="E29" s="1">
        <v>5</v>
      </c>
      <c r="F29" s="1">
        <v>6</v>
      </c>
      <c r="G29" s="1">
        <v>7</v>
      </c>
      <c r="H29" s="111">
        <f t="shared" si="0"/>
        <v>7712.7800000000007</v>
      </c>
    </row>
    <row r="30" spans="2:10" outlineLevel="2" x14ac:dyDescent="0.35">
      <c r="B30" s="1" t="s">
        <v>135</v>
      </c>
      <c r="C30" s="1" t="s">
        <v>94</v>
      </c>
      <c r="D30" s="1">
        <v>2</v>
      </c>
      <c r="E30" s="1">
        <v>8</v>
      </c>
      <c r="F30" s="1">
        <v>8</v>
      </c>
      <c r="G30" s="1">
        <v>7</v>
      </c>
      <c r="H30" s="111">
        <f t="shared" si="0"/>
        <v>5658.93</v>
      </c>
    </row>
    <row r="31" spans="2:10" outlineLevel="2" x14ac:dyDescent="0.35">
      <c r="B31" s="1" t="s">
        <v>136</v>
      </c>
      <c r="C31" s="1" t="s">
        <v>94</v>
      </c>
      <c r="D31" s="1">
        <v>8</v>
      </c>
      <c r="E31" s="1">
        <v>4</v>
      </c>
      <c r="F31" s="1">
        <v>3</v>
      </c>
      <c r="G31" s="1">
        <v>7</v>
      </c>
      <c r="H31" s="111">
        <f t="shared" si="0"/>
        <v>7506.880000000001</v>
      </c>
    </row>
    <row r="32" spans="2:10" outlineLevel="2" x14ac:dyDescent="0.35">
      <c r="B32" s="1" t="s">
        <v>137</v>
      </c>
      <c r="C32" s="1" t="s">
        <v>94</v>
      </c>
      <c r="D32" s="1">
        <v>2</v>
      </c>
      <c r="E32" s="1">
        <v>8</v>
      </c>
      <c r="F32" s="1">
        <v>4</v>
      </c>
      <c r="G32" s="1">
        <v>7</v>
      </c>
      <c r="H32" s="111">
        <f t="shared" si="0"/>
        <v>4875.13</v>
      </c>
    </row>
    <row r="33" spans="2:10" outlineLevel="2" x14ac:dyDescent="0.35">
      <c r="B33" s="1" t="s">
        <v>138</v>
      </c>
      <c r="C33" s="1" t="s">
        <v>94</v>
      </c>
      <c r="D33" s="1">
        <v>8</v>
      </c>
      <c r="E33" s="1">
        <v>5</v>
      </c>
      <c r="F33" s="1">
        <v>9</v>
      </c>
      <c r="G33" s="1">
        <v>0</v>
      </c>
      <c r="H33" s="111">
        <f t="shared" si="0"/>
        <v>8303.15</v>
      </c>
    </row>
    <row r="34" spans="2:10" outlineLevel="2" x14ac:dyDescent="0.35">
      <c r="B34" s="1" t="s">
        <v>139</v>
      </c>
      <c r="C34" s="1" t="s">
        <v>94</v>
      </c>
      <c r="D34" s="1">
        <v>8</v>
      </c>
      <c r="E34" s="1">
        <v>8</v>
      </c>
      <c r="F34" s="1">
        <v>10</v>
      </c>
      <c r="G34" s="1">
        <v>0</v>
      </c>
      <c r="H34" s="111">
        <f t="shared" si="0"/>
        <v>9303.1</v>
      </c>
    </row>
    <row r="35" spans="2:10" outlineLevel="2" x14ac:dyDescent="0.35">
      <c r="B35" s="1" t="s">
        <v>140</v>
      </c>
      <c r="C35" s="1" t="s">
        <v>94</v>
      </c>
      <c r="D35" s="1">
        <v>2</v>
      </c>
      <c r="E35" s="1">
        <v>7</v>
      </c>
      <c r="F35" s="1">
        <v>3</v>
      </c>
      <c r="G35" s="1">
        <v>3</v>
      </c>
      <c r="H35" s="111">
        <f t="shared" si="0"/>
        <v>4041.22</v>
      </c>
    </row>
    <row r="36" spans="2:10" outlineLevel="2" x14ac:dyDescent="0.35">
      <c r="B36" s="1" t="s">
        <v>141</v>
      </c>
      <c r="C36" s="1" t="s">
        <v>94</v>
      </c>
      <c r="D36" s="1">
        <v>8</v>
      </c>
      <c r="E36" s="1">
        <v>7</v>
      </c>
      <c r="F36" s="1">
        <v>2</v>
      </c>
      <c r="G36" s="1">
        <v>4</v>
      </c>
      <c r="H36" s="111">
        <f t="shared" si="0"/>
        <v>7837.46</v>
      </c>
    </row>
    <row r="37" spans="2:10" outlineLevel="2" x14ac:dyDescent="0.35">
      <c r="B37" s="1" t="s">
        <v>144</v>
      </c>
      <c r="C37" s="1" t="s">
        <v>94</v>
      </c>
      <c r="D37" s="1">
        <v>2</v>
      </c>
      <c r="E37" s="1">
        <v>7</v>
      </c>
      <c r="F37" s="1">
        <v>4</v>
      </c>
      <c r="G37" s="1">
        <v>5</v>
      </c>
      <c r="H37" s="111">
        <f t="shared" si="0"/>
        <v>4422.1499999999996</v>
      </c>
    </row>
    <row r="38" spans="2:10" outlineLevel="2" x14ac:dyDescent="0.35">
      <c r="B38" s="29" t="s">
        <v>169</v>
      </c>
      <c r="C38" s="1" t="s">
        <v>94</v>
      </c>
      <c r="D38" s="1">
        <v>4</v>
      </c>
      <c r="E38" s="1">
        <v>3</v>
      </c>
      <c r="F38" s="1">
        <v>5</v>
      </c>
      <c r="G38" s="1">
        <v>6</v>
      </c>
      <c r="H38" s="111">
        <f t="shared" si="0"/>
        <v>4938.49</v>
      </c>
    </row>
    <row r="39" spans="2:10" outlineLevel="2" x14ac:dyDescent="0.35">
      <c r="B39" s="1" t="s">
        <v>172</v>
      </c>
      <c r="C39" s="1" t="s">
        <v>94</v>
      </c>
      <c r="D39" s="1">
        <v>5</v>
      </c>
      <c r="E39" s="1">
        <v>9</v>
      </c>
      <c r="F39" s="1">
        <v>2</v>
      </c>
      <c r="G39" s="1">
        <v>6</v>
      </c>
      <c r="H39" s="111">
        <f t="shared" si="0"/>
        <v>6608.5899999999992</v>
      </c>
    </row>
    <row r="40" spans="2:10" outlineLevel="2" x14ac:dyDescent="0.35">
      <c r="B40" s="1" t="s">
        <v>174</v>
      </c>
      <c r="C40" s="1" t="s">
        <v>94</v>
      </c>
      <c r="D40" s="1">
        <v>9</v>
      </c>
      <c r="E40" s="1">
        <v>6</v>
      </c>
      <c r="F40" s="1">
        <v>7</v>
      </c>
      <c r="G40" s="1">
        <v>8</v>
      </c>
      <c r="H40" s="111">
        <f t="shared" si="0"/>
        <v>9569.1200000000008</v>
      </c>
    </row>
    <row r="41" spans="2:10" outlineLevel="2" x14ac:dyDescent="0.35">
      <c r="B41" s="1" t="s">
        <v>179</v>
      </c>
      <c r="C41" s="1" t="s">
        <v>94</v>
      </c>
      <c r="D41" s="1">
        <v>7</v>
      </c>
      <c r="E41" s="1">
        <v>6</v>
      </c>
      <c r="F41" s="1">
        <v>4</v>
      </c>
      <c r="G41" s="1">
        <v>5</v>
      </c>
      <c r="H41" s="111">
        <f t="shared" si="0"/>
        <v>7403.9000000000005</v>
      </c>
    </row>
    <row r="42" spans="2:10" outlineLevel="2" x14ac:dyDescent="0.35">
      <c r="B42" s="1" t="s">
        <v>180</v>
      </c>
      <c r="C42" s="1" t="s">
        <v>94</v>
      </c>
      <c r="D42" s="1">
        <v>9</v>
      </c>
      <c r="E42" s="1">
        <v>7</v>
      </c>
      <c r="F42" s="1">
        <v>2</v>
      </c>
      <c r="G42" s="1">
        <v>9</v>
      </c>
      <c r="H42" s="111">
        <f t="shared" si="0"/>
        <v>8949.86</v>
      </c>
    </row>
    <row r="43" spans="2:10" outlineLevel="2" x14ac:dyDescent="0.35">
      <c r="B43" s="1" t="s">
        <v>182</v>
      </c>
      <c r="C43" s="1" t="s">
        <v>94</v>
      </c>
      <c r="D43" s="1">
        <v>4</v>
      </c>
      <c r="E43" s="1">
        <v>8</v>
      </c>
      <c r="F43" s="1">
        <v>7</v>
      </c>
      <c r="G43" s="1">
        <v>4</v>
      </c>
      <c r="H43" s="111">
        <f t="shared" si="0"/>
        <v>6485.41</v>
      </c>
    </row>
    <row r="44" spans="2:10" outlineLevel="2" x14ac:dyDescent="0.35">
      <c r="B44" s="1" t="s">
        <v>185</v>
      </c>
      <c r="C44" s="1" t="s">
        <v>94</v>
      </c>
      <c r="D44" s="1">
        <v>7</v>
      </c>
      <c r="E44" s="1">
        <v>8</v>
      </c>
      <c r="F44" s="1">
        <v>7</v>
      </c>
      <c r="G44" s="1">
        <v>7</v>
      </c>
      <c r="H44" s="111">
        <f t="shared" si="0"/>
        <v>8712.73</v>
      </c>
    </row>
    <row r="45" spans="2:10" outlineLevel="2" x14ac:dyDescent="0.35">
      <c r="B45" s="1" t="s">
        <v>190</v>
      </c>
      <c r="C45" s="1" t="s">
        <v>94</v>
      </c>
      <c r="D45" s="1">
        <v>8</v>
      </c>
      <c r="E45" s="1">
        <v>1</v>
      </c>
      <c r="F45" s="1">
        <v>6</v>
      </c>
      <c r="G45" s="1">
        <v>4</v>
      </c>
      <c r="H45" s="111">
        <f t="shared" si="0"/>
        <v>7013.26</v>
      </c>
      <c r="I45" t="str">
        <f>LEFT(G78,K45)</f>
        <v/>
      </c>
      <c r="J45" t="str">
        <f>RIGHT(G78,L45-K45)</f>
        <v/>
      </c>
    </row>
    <row r="46" spans="2:10" outlineLevel="2" x14ac:dyDescent="0.35">
      <c r="B46" s="1" t="s">
        <v>194</v>
      </c>
      <c r="C46" s="1" t="s">
        <v>94</v>
      </c>
      <c r="D46" s="1">
        <v>7</v>
      </c>
      <c r="E46" s="1">
        <v>0</v>
      </c>
      <c r="F46" s="1">
        <v>7</v>
      </c>
      <c r="G46" s="1">
        <v>3</v>
      </c>
      <c r="H46" s="111">
        <f t="shared" si="0"/>
        <v>6198.77</v>
      </c>
      <c r="I46" t="str">
        <f>LEFT(G79,K46)</f>
        <v/>
      </c>
      <c r="J46" t="str">
        <f>RIGHT(G79,L46-K46)</f>
        <v/>
      </c>
    </row>
    <row r="47" spans="2:10" outlineLevel="2" x14ac:dyDescent="0.35">
      <c r="B47" s="1" t="s">
        <v>195</v>
      </c>
      <c r="C47" s="1" t="s">
        <v>94</v>
      </c>
      <c r="D47" s="1">
        <v>2</v>
      </c>
      <c r="E47" s="1">
        <v>5</v>
      </c>
      <c r="F47" s="1">
        <v>7</v>
      </c>
      <c r="G47" s="1">
        <v>4</v>
      </c>
      <c r="H47" s="111">
        <f t="shared" si="0"/>
        <v>4381.51</v>
      </c>
      <c r="I47" t="str">
        <f>LEFT(G80,K47)</f>
        <v/>
      </c>
      <c r="J47" t="str">
        <f>RIGHT(G80,L47-K47)</f>
        <v/>
      </c>
    </row>
    <row r="48" spans="2:10" outlineLevel="2" x14ac:dyDescent="0.35">
      <c r="B48" s="1" t="s">
        <v>207</v>
      </c>
      <c r="C48" s="1" t="s">
        <v>94</v>
      </c>
      <c r="D48" s="1">
        <v>7</v>
      </c>
      <c r="E48" s="1">
        <v>6</v>
      </c>
      <c r="F48" s="1">
        <v>0</v>
      </c>
      <c r="G48" s="1">
        <v>9</v>
      </c>
      <c r="H48" s="111">
        <f t="shared" si="0"/>
        <v>6990.06</v>
      </c>
    </row>
    <row r="49" spans="2:10" outlineLevel="2" x14ac:dyDescent="0.35">
      <c r="B49" s="1" t="s">
        <v>238</v>
      </c>
      <c r="C49" s="1" t="s">
        <v>94</v>
      </c>
      <c r="D49" s="1">
        <v>2</v>
      </c>
      <c r="E49" s="1">
        <v>6</v>
      </c>
      <c r="F49" s="1">
        <v>6</v>
      </c>
      <c r="G49" s="1">
        <v>5</v>
      </c>
      <c r="H49" s="111">
        <f t="shared" si="0"/>
        <v>4546.05</v>
      </c>
    </row>
    <row r="50" spans="2:10" outlineLevel="1" x14ac:dyDescent="0.35">
      <c r="B50" s="1"/>
      <c r="C50" s="5" t="s">
        <v>495</v>
      </c>
      <c r="D50" s="1">
        <f>SUBTOTAL(9,D8:D49)</f>
        <v>238</v>
      </c>
      <c r="E50" s="1"/>
      <c r="F50" s="1"/>
      <c r="G50" s="1"/>
      <c r="H50" s="111">
        <f>SUBTOTAL(9,H8:H49)</f>
        <v>279031.01</v>
      </c>
    </row>
    <row r="51" spans="2:10" outlineLevel="2" x14ac:dyDescent="0.35">
      <c r="B51" s="1" t="s">
        <v>107</v>
      </c>
      <c r="C51" s="1" t="s">
        <v>108</v>
      </c>
      <c r="D51" s="1">
        <v>2</v>
      </c>
      <c r="E51" s="1">
        <v>8</v>
      </c>
      <c r="F51" s="1">
        <v>5</v>
      </c>
      <c r="G51" s="1">
        <v>6</v>
      </c>
      <c r="H51" s="111">
        <f t="shared" ref="H51:H72" si="1">($K$7*D51)+($K$8*E51)+($K$9*F51)+($K$10*G51)</f>
        <v>4978.5899999999992</v>
      </c>
    </row>
    <row r="52" spans="2:10" outlineLevel="2" x14ac:dyDescent="0.35">
      <c r="B52" s="1" t="s">
        <v>114</v>
      </c>
      <c r="C52" s="1" t="s">
        <v>108</v>
      </c>
      <c r="D52" s="1">
        <v>4</v>
      </c>
      <c r="E52" s="1">
        <v>4</v>
      </c>
      <c r="F52" s="1">
        <v>5</v>
      </c>
      <c r="G52" s="1">
        <v>6</v>
      </c>
      <c r="H52" s="111">
        <f t="shared" si="1"/>
        <v>5206.49</v>
      </c>
      <c r="I52" t="str">
        <f>LEFT(G84,K52)</f>
        <v/>
      </c>
      <c r="J52" t="str">
        <f>RIGHT(G84,L52-K52)</f>
        <v/>
      </c>
    </row>
    <row r="53" spans="2:10" outlineLevel="2" x14ac:dyDescent="0.35">
      <c r="B53" s="1" t="s">
        <v>118</v>
      </c>
      <c r="C53" s="1" t="s">
        <v>108</v>
      </c>
      <c r="D53" s="1">
        <v>2</v>
      </c>
      <c r="E53" s="1">
        <v>6</v>
      </c>
      <c r="F53" s="1">
        <v>7</v>
      </c>
      <c r="G53" s="1">
        <v>6</v>
      </c>
      <c r="H53" s="111">
        <f t="shared" si="1"/>
        <v>4834.49</v>
      </c>
      <c r="I53" t="str">
        <f>LEFT(G85,K53)</f>
        <v/>
      </c>
      <c r="J53" t="str">
        <f>RIGHT(G85,L53-K53)</f>
        <v/>
      </c>
    </row>
    <row r="54" spans="2:10" outlineLevel="2" x14ac:dyDescent="0.35">
      <c r="B54" s="1" t="s">
        <v>126</v>
      </c>
      <c r="C54" s="1" t="s">
        <v>108</v>
      </c>
      <c r="D54" s="1">
        <v>7</v>
      </c>
      <c r="E54" s="1">
        <v>6</v>
      </c>
      <c r="F54" s="1">
        <v>3</v>
      </c>
      <c r="G54" s="1">
        <v>0</v>
      </c>
      <c r="H54" s="111">
        <f t="shared" si="1"/>
        <v>6745.5</v>
      </c>
    </row>
    <row r="55" spans="2:10" outlineLevel="2" x14ac:dyDescent="0.35">
      <c r="B55" s="29" t="s">
        <v>142</v>
      </c>
      <c r="C55" s="1" t="s">
        <v>108</v>
      </c>
      <c r="D55" s="1">
        <v>4</v>
      </c>
      <c r="E55" s="1">
        <v>4</v>
      </c>
      <c r="F55" s="1">
        <v>0</v>
      </c>
      <c r="G55" s="1">
        <v>1</v>
      </c>
      <c r="H55" s="111">
        <f t="shared" si="1"/>
        <v>3764.29</v>
      </c>
    </row>
    <row r="56" spans="2:10" outlineLevel="2" x14ac:dyDescent="0.35">
      <c r="B56" s="1" t="s">
        <v>143</v>
      </c>
      <c r="C56" s="1" t="s">
        <v>108</v>
      </c>
      <c r="D56" s="1">
        <v>3</v>
      </c>
      <c r="E56" s="1">
        <v>8</v>
      </c>
      <c r="F56" s="1">
        <v>8</v>
      </c>
      <c r="G56" s="1">
        <v>7</v>
      </c>
      <c r="H56" s="111">
        <f t="shared" si="1"/>
        <v>6308.880000000001</v>
      </c>
    </row>
    <row r="57" spans="2:10" outlineLevel="2" x14ac:dyDescent="0.35">
      <c r="B57" s="1" t="s">
        <v>145</v>
      </c>
      <c r="C57" s="1" t="s">
        <v>108</v>
      </c>
      <c r="D57" s="1">
        <v>7</v>
      </c>
      <c r="E57" s="1">
        <v>3</v>
      </c>
      <c r="F57" s="1">
        <v>3</v>
      </c>
      <c r="G57" s="1">
        <v>7</v>
      </c>
      <c r="H57" s="111">
        <f t="shared" si="1"/>
        <v>6588.93</v>
      </c>
    </row>
    <row r="58" spans="2:10" outlineLevel="2" x14ac:dyDescent="0.35">
      <c r="B58" s="1" t="s">
        <v>146</v>
      </c>
      <c r="C58" s="1" t="s">
        <v>108</v>
      </c>
      <c r="D58" s="1">
        <v>4</v>
      </c>
      <c r="E58" s="1">
        <v>5</v>
      </c>
      <c r="F58" s="1">
        <v>5</v>
      </c>
      <c r="G58" s="1">
        <v>2</v>
      </c>
      <c r="H58" s="111">
        <f t="shared" si="1"/>
        <v>5104.53</v>
      </c>
    </row>
    <row r="59" spans="2:10" outlineLevel="2" x14ac:dyDescent="0.35">
      <c r="B59" s="1" t="s">
        <v>147</v>
      </c>
      <c r="C59" s="1" t="s">
        <v>108</v>
      </c>
      <c r="D59" s="1">
        <v>0</v>
      </c>
      <c r="E59" s="1">
        <v>5</v>
      </c>
      <c r="F59" s="1">
        <v>8</v>
      </c>
      <c r="G59" s="1">
        <v>2</v>
      </c>
      <c r="H59" s="111">
        <f t="shared" si="1"/>
        <v>3092.58</v>
      </c>
      <c r="I59" t="str">
        <f>LEFT(G91,K59)</f>
        <v/>
      </c>
      <c r="J59" t="str">
        <f>RIGHT(G91,L59-K59)</f>
        <v/>
      </c>
    </row>
    <row r="60" spans="2:10" outlineLevel="2" x14ac:dyDescent="0.35">
      <c r="B60" s="1" t="s">
        <v>149</v>
      </c>
      <c r="C60" s="1" t="s">
        <v>108</v>
      </c>
      <c r="D60" s="1">
        <v>8</v>
      </c>
      <c r="E60" s="1">
        <v>7</v>
      </c>
      <c r="F60" s="1">
        <v>5</v>
      </c>
      <c r="G60" s="1">
        <v>5</v>
      </c>
      <c r="H60" s="111">
        <f t="shared" si="1"/>
        <v>8517.8000000000011</v>
      </c>
    </row>
    <row r="61" spans="2:10" outlineLevel="2" x14ac:dyDescent="0.35">
      <c r="B61" s="1" t="s">
        <v>150</v>
      </c>
      <c r="C61" s="1" t="s">
        <v>108</v>
      </c>
      <c r="D61" s="1">
        <v>3</v>
      </c>
      <c r="E61" s="1">
        <v>9</v>
      </c>
      <c r="F61" s="1">
        <v>2</v>
      </c>
      <c r="G61" s="1">
        <v>8</v>
      </c>
      <c r="H61" s="111">
        <f t="shared" si="1"/>
        <v>5493.67</v>
      </c>
    </row>
    <row r="62" spans="2:10" outlineLevel="2" x14ac:dyDescent="0.35">
      <c r="B62" s="1" t="s">
        <v>153</v>
      </c>
      <c r="C62" s="1" t="s">
        <v>108</v>
      </c>
      <c r="D62" s="1">
        <v>9</v>
      </c>
      <c r="E62" s="1">
        <v>6</v>
      </c>
      <c r="F62" s="1">
        <v>3</v>
      </c>
      <c r="G62" s="1">
        <v>9</v>
      </c>
      <c r="H62" s="111">
        <f t="shared" si="1"/>
        <v>8877.81</v>
      </c>
    </row>
    <row r="63" spans="2:10" outlineLevel="2" x14ac:dyDescent="0.35">
      <c r="B63" s="1" t="s">
        <v>173</v>
      </c>
      <c r="C63" s="1" t="s">
        <v>108</v>
      </c>
      <c r="D63" s="1">
        <v>6</v>
      </c>
      <c r="E63" s="1">
        <v>4</v>
      </c>
      <c r="F63" s="1">
        <v>4</v>
      </c>
      <c r="G63" s="1">
        <v>6</v>
      </c>
      <c r="H63" s="111">
        <f t="shared" si="1"/>
        <v>6310.4400000000005</v>
      </c>
    </row>
    <row r="64" spans="2:10" outlineLevel="2" x14ac:dyDescent="0.35">
      <c r="B64" s="1" t="s">
        <v>199</v>
      </c>
      <c r="C64" s="1" t="s">
        <v>108</v>
      </c>
      <c r="D64" s="1">
        <v>9</v>
      </c>
      <c r="E64" s="1">
        <v>3</v>
      </c>
      <c r="F64" s="1">
        <v>3</v>
      </c>
      <c r="G64" s="1">
        <v>9</v>
      </c>
      <c r="H64" s="111">
        <f t="shared" si="1"/>
        <v>8073.8099999999995</v>
      </c>
      <c r="I64" t="str">
        <f>LEFT(G96,K64)</f>
        <v/>
      </c>
      <c r="J64" t="str">
        <f>RIGHT(G96,L64-K64)</f>
        <v/>
      </c>
    </row>
    <row r="65" spans="2:10" outlineLevel="2" x14ac:dyDescent="0.35">
      <c r="B65" s="1" t="s">
        <v>211</v>
      </c>
      <c r="C65" s="1" t="s">
        <v>108</v>
      </c>
      <c r="D65" s="1">
        <v>7</v>
      </c>
      <c r="E65" s="1">
        <v>4</v>
      </c>
      <c r="F65" s="1">
        <v>4</v>
      </c>
      <c r="G65" s="1">
        <v>4</v>
      </c>
      <c r="H65" s="111">
        <f t="shared" si="1"/>
        <v>6775.4100000000008</v>
      </c>
    </row>
    <row r="66" spans="2:10" outlineLevel="2" x14ac:dyDescent="0.35">
      <c r="B66" s="1" t="s">
        <v>212</v>
      </c>
      <c r="C66" s="1" t="s">
        <v>108</v>
      </c>
      <c r="D66" s="1">
        <v>5</v>
      </c>
      <c r="E66" s="1">
        <v>7</v>
      </c>
      <c r="F66" s="1">
        <v>6</v>
      </c>
      <c r="G66" s="1">
        <v>7</v>
      </c>
      <c r="H66" s="111">
        <f t="shared" si="1"/>
        <v>6948.88</v>
      </c>
    </row>
    <row r="67" spans="2:10" outlineLevel="2" x14ac:dyDescent="0.35">
      <c r="B67" s="1" t="s">
        <v>222</v>
      </c>
      <c r="C67" s="1" t="s">
        <v>108</v>
      </c>
      <c r="D67" s="1">
        <v>6</v>
      </c>
      <c r="E67" s="1">
        <v>7</v>
      </c>
      <c r="F67" s="1">
        <v>9</v>
      </c>
      <c r="G67" s="1">
        <v>3</v>
      </c>
      <c r="H67" s="111">
        <f t="shared" si="1"/>
        <v>7816.7200000000012</v>
      </c>
    </row>
    <row r="68" spans="2:10" outlineLevel="2" x14ac:dyDescent="0.35">
      <c r="B68" s="1" t="s">
        <v>223</v>
      </c>
      <c r="C68" s="1" t="s">
        <v>108</v>
      </c>
      <c r="D68" s="1">
        <v>11</v>
      </c>
      <c r="E68" s="1">
        <v>8</v>
      </c>
      <c r="F68" s="1">
        <v>6</v>
      </c>
      <c r="G68" s="1">
        <v>8</v>
      </c>
      <c r="H68" s="111">
        <f t="shared" si="1"/>
        <v>11209.070000000002</v>
      </c>
    </row>
    <row r="69" spans="2:10" outlineLevel="2" x14ac:dyDescent="0.35">
      <c r="B69" s="1" t="s">
        <v>233</v>
      </c>
      <c r="C69" s="1" t="s">
        <v>108</v>
      </c>
      <c r="D69" s="1">
        <v>3</v>
      </c>
      <c r="E69" s="1">
        <v>0</v>
      </c>
      <c r="F69" s="1">
        <v>3</v>
      </c>
      <c r="G69" s="1">
        <v>5</v>
      </c>
      <c r="H69" s="111">
        <f t="shared" si="1"/>
        <v>3000.1499999999996</v>
      </c>
    </row>
    <row r="70" spans="2:10" outlineLevel="2" x14ac:dyDescent="0.35">
      <c r="B70" s="1" t="s">
        <v>234</v>
      </c>
      <c r="C70" s="1" t="s">
        <v>108</v>
      </c>
      <c r="D70" s="1">
        <v>7</v>
      </c>
      <c r="E70" s="1">
        <v>6</v>
      </c>
      <c r="F70" s="1">
        <v>5</v>
      </c>
      <c r="G70" s="1">
        <v>7</v>
      </c>
      <c r="H70" s="111">
        <f t="shared" si="1"/>
        <v>7784.8300000000008</v>
      </c>
    </row>
    <row r="71" spans="2:10" outlineLevel="2" x14ac:dyDescent="0.35">
      <c r="B71" s="1" t="s">
        <v>245</v>
      </c>
      <c r="C71" s="1" t="s">
        <v>108</v>
      </c>
      <c r="D71" s="1">
        <v>2</v>
      </c>
      <c r="E71" s="1">
        <v>3</v>
      </c>
      <c r="F71" s="1">
        <v>4</v>
      </c>
      <c r="G71" s="1">
        <v>2</v>
      </c>
      <c r="H71" s="111">
        <f t="shared" si="1"/>
        <v>3072.68</v>
      </c>
    </row>
    <row r="72" spans="2:10" outlineLevel="2" x14ac:dyDescent="0.35">
      <c r="B72" s="1" t="s">
        <v>246</v>
      </c>
      <c r="C72" s="1" t="s">
        <v>108</v>
      </c>
      <c r="D72" s="1">
        <v>5</v>
      </c>
      <c r="E72" s="1">
        <v>3</v>
      </c>
      <c r="F72" s="1">
        <v>7</v>
      </c>
      <c r="G72" s="1">
        <v>8</v>
      </c>
      <c r="H72" s="111">
        <f t="shared" si="1"/>
        <v>6165.32</v>
      </c>
    </row>
    <row r="73" spans="2:10" outlineLevel="1" x14ac:dyDescent="0.35">
      <c r="B73" s="1"/>
      <c r="C73" s="5" t="s">
        <v>496</v>
      </c>
      <c r="D73" s="1">
        <f>SUBTOTAL(9,D51:D72)</f>
        <v>114</v>
      </c>
      <c r="E73" s="1"/>
      <c r="F73" s="1"/>
      <c r="G73" s="1"/>
      <c r="H73" s="111">
        <f>SUBTOTAL(9,H51:H72)</f>
        <v>136670.87</v>
      </c>
    </row>
    <row r="74" spans="2:10" outlineLevel="2" x14ac:dyDescent="0.35">
      <c r="B74" s="1" t="s">
        <v>251</v>
      </c>
      <c r="C74" s="1" t="s">
        <v>252</v>
      </c>
      <c r="D74" s="1">
        <v>7</v>
      </c>
      <c r="E74" s="1">
        <v>8</v>
      </c>
      <c r="F74" s="1">
        <v>5</v>
      </c>
      <c r="G74" s="1">
        <v>6</v>
      </c>
      <c r="H74" s="111">
        <f>($K$7*D74)+($K$8*E74)+($K$9*F74)+($K$10*G74)</f>
        <v>8228.34</v>
      </c>
      <c r="I74" t="str">
        <f>LEFT(G105,K74)</f>
        <v/>
      </c>
      <c r="J74" t="str">
        <f>RIGHT(G105,L74-K74)</f>
        <v/>
      </c>
    </row>
    <row r="75" spans="2:10" outlineLevel="1" x14ac:dyDescent="0.35">
      <c r="B75" s="1"/>
      <c r="C75" s="5" t="s">
        <v>497</v>
      </c>
      <c r="D75" s="1">
        <f>SUBTOTAL(9,D74:D74)</f>
        <v>7</v>
      </c>
      <c r="E75" s="1"/>
      <c r="F75" s="1"/>
      <c r="G75" s="1"/>
      <c r="H75" s="111">
        <f>SUBTOTAL(9,H74:H74)</f>
        <v>8228.34</v>
      </c>
    </row>
    <row r="76" spans="2:10" outlineLevel="2" x14ac:dyDescent="0.35">
      <c r="B76" s="1" t="s">
        <v>98</v>
      </c>
      <c r="C76" s="1" t="s">
        <v>99</v>
      </c>
      <c r="D76" s="1">
        <v>5</v>
      </c>
      <c r="E76" s="1">
        <v>5</v>
      </c>
      <c r="F76" s="1">
        <v>8</v>
      </c>
      <c r="G76" s="1">
        <v>3</v>
      </c>
      <c r="H76" s="111">
        <f t="shared" ref="H76:H107" si="2">($K$7*D76)+($K$8*E76)+($K$9*F76)+($K$10*G76)</f>
        <v>6434.8200000000006</v>
      </c>
    </row>
    <row r="77" spans="2:10" outlineLevel="2" x14ac:dyDescent="0.35">
      <c r="B77" s="29" t="s">
        <v>102</v>
      </c>
      <c r="C77" s="1" t="s">
        <v>99</v>
      </c>
      <c r="D77" s="1">
        <v>4</v>
      </c>
      <c r="E77" s="1">
        <v>9</v>
      </c>
      <c r="F77" s="1">
        <v>5</v>
      </c>
      <c r="G77" s="1">
        <v>2</v>
      </c>
      <c r="H77" s="111">
        <f t="shared" si="2"/>
        <v>6176.53</v>
      </c>
    </row>
    <row r="78" spans="2:10" outlineLevel="2" x14ac:dyDescent="0.35">
      <c r="B78" s="29" t="s">
        <v>103</v>
      </c>
      <c r="C78" s="1" t="s">
        <v>99</v>
      </c>
      <c r="D78" s="1">
        <v>5</v>
      </c>
      <c r="E78" s="1">
        <v>6</v>
      </c>
      <c r="F78" s="1">
        <v>8</v>
      </c>
      <c r="G78" s="1">
        <v>5</v>
      </c>
      <c r="H78" s="111">
        <f t="shared" si="2"/>
        <v>6887.8</v>
      </c>
    </row>
    <row r="79" spans="2:10" outlineLevel="2" x14ac:dyDescent="0.35">
      <c r="B79" s="1" t="s">
        <v>122</v>
      </c>
      <c r="C79" s="1" t="s">
        <v>99</v>
      </c>
      <c r="D79" s="1">
        <v>7</v>
      </c>
      <c r="E79" s="1">
        <v>5</v>
      </c>
      <c r="F79" s="1">
        <v>0</v>
      </c>
      <c r="G79" s="1">
        <v>5</v>
      </c>
      <c r="H79" s="111">
        <f t="shared" si="2"/>
        <v>6352.1</v>
      </c>
    </row>
    <row r="80" spans="2:10" outlineLevel="2" x14ac:dyDescent="0.35">
      <c r="B80" s="1" t="s">
        <v>127</v>
      </c>
      <c r="C80" s="1" t="s">
        <v>99</v>
      </c>
      <c r="D80" s="1">
        <v>5</v>
      </c>
      <c r="E80" s="1">
        <v>4</v>
      </c>
      <c r="F80" s="1">
        <v>7</v>
      </c>
      <c r="G80" s="1">
        <v>6</v>
      </c>
      <c r="H80" s="111">
        <f t="shared" si="2"/>
        <v>6248.3399999999992</v>
      </c>
    </row>
    <row r="81" spans="2:10" outlineLevel="2" x14ac:dyDescent="0.35">
      <c r="B81" s="1" t="s">
        <v>128</v>
      </c>
      <c r="C81" s="1" t="s">
        <v>99</v>
      </c>
      <c r="D81" s="1">
        <v>3</v>
      </c>
      <c r="E81" s="1">
        <v>3</v>
      </c>
      <c r="F81" s="1">
        <v>1</v>
      </c>
      <c r="G81" s="1">
        <v>5</v>
      </c>
      <c r="H81" s="111">
        <f t="shared" si="2"/>
        <v>3412.25</v>
      </c>
    </row>
    <row r="82" spans="2:10" outlineLevel="2" x14ac:dyDescent="0.35">
      <c r="B82" s="1" t="s">
        <v>148</v>
      </c>
      <c r="C82" s="1" t="s">
        <v>99</v>
      </c>
      <c r="D82" s="1">
        <v>3</v>
      </c>
      <c r="E82" s="1">
        <v>0</v>
      </c>
      <c r="F82" s="1">
        <v>5</v>
      </c>
      <c r="G82" s="1">
        <v>9</v>
      </c>
      <c r="H82" s="111">
        <f t="shared" si="2"/>
        <v>3762.01</v>
      </c>
      <c r="I82" t="str">
        <f>LEFT(G112,K82)</f>
        <v/>
      </c>
      <c r="J82" t="str">
        <f>RIGHT(G112,L82-K82)</f>
        <v/>
      </c>
    </row>
    <row r="83" spans="2:10" outlineLevel="2" x14ac:dyDescent="0.35">
      <c r="B83" s="1" t="s">
        <v>152</v>
      </c>
      <c r="C83" s="1" t="s">
        <v>99</v>
      </c>
      <c r="D83" s="1">
        <v>8</v>
      </c>
      <c r="E83" s="1">
        <v>2</v>
      </c>
      <c r="F83" s="1">
        <v>5</v>
      </c>
      <c r="G83" s="1">
        <v>5</v>
      </c>
      <c r="H83" s="111">
        <f t="shared" si="2"/>
        <v>7177.8</v>
      </c>
    </row>
    <row r="84" spans="2:10" outlineLevel="2" x14ac:dyDescent="0.35">
      <c r="B84" s="29" t="s">
        <v>154</v>
      </c>
      <c r="C84" s="1" t="s">
        <v>99</v>
      </c>
      <c r="D84" s="1">
        <v>8</v>
      </c>
      <c r="E84" s="1">
        <v>3</v>
      </c>
      <c r="F84" s="1">
        <v>4</v>
      </c>
      <c r="G84" s="1">
        <v>3</v>
      </c>
      <c r="H84" s="111">
        <f t="shared" si="2"/>
        <v>7064.8700000000008</v>
      </c>
    </row>
    <row r="85" spans="2:10" outlineLevel="2" x14ac:dyDescent="0.35">
      <c r="B85" s="29" t="s">
        <v>155</v>
      </c>
      <c r="C85" s="1" t="s">
        <v>99</v>
      </c>
      <c r="D85" s="1">
        <v>5</v>
      </c>
      <c r="E85" s="1">
        <v>2</v>
      </c>
      <c r="F85" s="1">
        <v>5</v>
      </c>
      <c r="G85" s="1">
        <v>6</v>
      </c>
      <c r="H85" s="111">
        <f t="shared" si="2"/>
        <v>5320.44</v>
      </c>
    </row>
    <row r="86" spans="2:10" outlineLevel="2" x14ac:dyDescent="0.35">
      <c r="B86" s="29" t="s">
        <v>156</v>
      </c>
      <c r="C86" s="1" t="s">
        <v>99</v>
      </c>
      <c r="D86" s="1">
        <v>5</v>
      </c>
      <c r="E86" s="1">
        <v>6</v>
      </c>
      <c r="F86" s="1">
        <v>8</v>
      </c>
      <c r="G86" s="1">
        <v>5</v>
      </c>
      <c r="H86" s="111">
        <f t="shared" si="2"/>
        <v>6887.8</v>
      </c>
    </row>
    <row r="87" spans="2:10" outlineLevel="2" x14ac:dyDescent="0.35">
      <c r="B87" s="29" t="s">
        <v>157</v>
      </c>
      <c r="C87" s="1" t="s">
        <v>99</v>
      </c>
      <c r="D87" s="1">
        <v>9</v>
      </c>
      <c r="E87" s="1">
        <v>7</v>
      </c>
      <c r="F87" s="1">
        <v>5</v>
      </c>
      <c r="G87" s="1">
        <v>6</v>
      </c>
      <c r="H87" s="111">
        <f t="shared" si="2"/>
        <v>9260.24</v>
      </c>
    </row>
    <row r="88" spans="2:10" outlineLevel="2" x14ac:dyDescent="0.35">
      <c r="B88" s="1" t="s">
        <v>160</v>
      </c>
      <c r="C88" s="1" t="s">
        <v>99</v>
      </c>
      <c r="D88" s="1">
        <v>7</v>
      </c>
      <c r="E88" s="1">
        <v>4</v>
      </c>
      <c r="F88" s="1">
        <v>5</v>
      </c>
      <c r="G88" s="1">
        <v>2</v>
      </c>
      <c r="H88" s="111">
        <f t="shared" si="2"/>
        <v>6786.38</v>
      </c>
    </row>
    <row r="89" spans="2:10" outlineLevel="2" x14ac:dyDescent="0.35">
      <c r="B89" s="1" t="s">
        <v>162</v>
      </c>
      <c r="C89" s="1" t="s">
        <v>99</v>
      </c>
      <c r="D89" s="1">
        <v>1</v>
      </c>
      <c r="E89" s="1">
        <v>5</v>
      </c>
      <c r="F89" s="1">
        <v>8</v>
      </c>
      <c r="G89" s="1">
        <v>5</v>
      </c>
      <c r="H89" s="111">
        <f t="shared" si="2"/>
        <v>4020</v>
      </c>
    </row>
    <row r="90" spans="2:10" outlineLevel="2" x14ac:dyDescent="0.35">
      <c r="B90" s="1" t="s">
        <v>163</v>
      </c>
      <c r="C90" s="1" t="s">
        <v>99</v>
      </c>
      <c r="D90" s="1">
        <v>5</v>
      </c>
      <c r="E90" s="1">
        <v>4</v>
      </c>
      <c r="F90" s="1">
        <v>5</v>
      </c>
      <c r="G90" s="1">
        <v>2</v>
      </c>
      <c r="H90" s="111">
        <f t="shared" si="2"/>
        <v>5486.48</v>
      </c>
    </row>
    <row r="91" spans="2:10" outlineLevel="2" x14ac:dyDescent="0.35">
      <c r="B91" s="29" t="s">
        <v>164</v>
      </c>
      <c r="C91" s="1" t="s">
        <v>99</v>
      </c>
      <c r="D91" s="1">
        <v>8</v>
      </c>
      <c r="E91" s="1">
        <v>2</v>
      </c>
      <c r="F91" s="1">
        <v>4</v>
      </c>
      <c r="G91" s="1">
        <v>5</v>
      </c>
      <c r="H91" s="111">
        <f t="shared" si="2"/>
        <v>6981.85</v>
      </c>
    </row>
    <row r="92" spans="2:10" outlineLevel="2" x14ac:dyDescent="0.35">
      <c r="B92" s="29" t="s">
        <v>165</v>
      </c>
      <c r="C92" s="1" t="s">
        <v>99</v>
      </c>
      <c r="D92" s="1">
        <v>9</v>
      </c>
      <c r="E92" s="1">
        <v>7</v>
      </c>
      <c r="F92" s="1">
        <v>3</v>
      </c>
      <c r="G92" s="1">
        <v>8</v>
      </c>
      <c r="H92" s="111">
        <f t="shared" si="2"/>
        <v>9053.32</v>
      </c>
    </row>
    <row r="93" spans="2:10" outlineLevel="2" x14ac:dyDescent="0.35">
      <c r="B93" s="29" t="s">
        <v>166</v>
      </c>
      <c r="C93" s="1" t="s">
        <v>99</v>
      </c>
      <c r="D93" s="1">
        <v>0</v>
      </c>
      <c r="E93" s="1">
        <v>5</v>
      </c>
      <c r="F93" s="1">
        <v>2</v>
      </c>
      <c r="G93" s="1">
        <v>9</v>
      </c>
      <c r="H93" s="111">
        <f t="shared" si="2"/>
        <v>2564.31</v>
      </c>
    </row>
    <row r="94" spans="2:10" outlineLevel="2" x14ac:dyDescent="0.35">
      <c r="B94" s="29" t="s">
        <v>167</v>
      </c>
      <c r="C94" s="1" t="s">
        <v>99</v>
      </c>
      <c r="D94" s="1">
        <v>6</v>
      </c>
      <c r="E94" s="1">
        <v>8</v>
      </c>
      <c r="F94" s="1">
        <v>8</v>
      </c>
      <c r="G94" s="1">
        <v>3</v>
      </c>
      <c r="H94" s="111">
        <f t="shared" si="2"/>
        <v>7888.7700000000013</v>
      </c>
    </row>
    <row r="95" spans="2:10" outlineLevel="2" x14ac:dyDescent="0.35">
      <c r="B95" s="29" t="s">
        <v>168</v>
      </c>
      <c r="C95" s="1" t="s">
        <v>99</v>
      </c>
      <c r="D95" s="1">
        <v>7</v>
      </c>
      <c r="E95" s="1">
        <v>1</v>
      </c>
      <c r="F95" s="1">
        <v>2</v>
      </c>
      <c r="G95" s="1">
        <v>3</v>
      </c>
      <c r="H95" s="111">
        <f t="shared" si="2"/>
        <v>5487.02</v>
      </c>
    </row>
    <row r="96" spans="2:10" outlineLevel="2" x14ac:dyDescent="0.35">
      <c r="B96" s="29" t="s">
        <v>170</v>
      </c>
      <c r="C96" s="1" t="s">
        <v>99</v>
      </c>
      <c r="D96" s="1">
        <v>6</v>
      </c>
      <c r="E96" s="1">
        <v>4</v>
      </c>
      <c r="F96" s="1">
        <v>9</v>
      </c>
      <c r="G96" s="1">
        <v>7</v>
      </c>
      <c r="H96" s="111">
        <f t="shared" si="2"/>
        <v>7382.6800000000012</v>
      </c>
    </row>
    <row r="97" spans="2:10" outlineLevel="2" x14ac:dyDescent="0.35">
      <c r="B97" s="1" t="s">
        <v>171</v>
      </c>
      <c r="C97" s="1" t="s">
        <v>99</v>
      </c>
      <c r="D97" s="1">
        <v>5</v>
      </c>
      <c r="E97" s="1">
        <v>6</v>
      </c>
      <c r="F97" s="1">
        <v>3</v>
      </c>
      <c r="G97" s="1">
        <v>8</v>
      </c>
      <c r="H97" s="111">
        <f t="shared" si="2"/>
        <v>6185.52</v>
      </c>
    </row>
    <row r="98" spans="2:10" outlineLevel="2" x14ac:dyDescent="0.35">
      <c r="B98" s="1" t="s">
        <v>175</v>
      </c>
      <c r="C98" s="1" t="s">
        <v>99</v>
      </c>
      <c r="D98" s="1">
        <v>8</v>
      </c>
      <c r="E98" s="1">
        <v>5</v>
      </c>
      <c r="F98" s="1">
        <v>8</v>
      </c>
      <c r="G98" s="1">
        <v>3</v>
      </c>
      <c r="H98" s="111">
        <f t="shared" si="2"/>
        <v>8384.67</v>
      </c>
    </row>
    <row r="99" spans="2:10" outlineLevel="2" x14ac:dyDescent="0.35">
      <c r="B99" s="1" t="s">
        <v>176</v>
      </c>
      <c r="C99" s="1" t="s">
        <v>99</v>
      </c>
      <c r="D99" s="1">
        <v>3</v>
      </c>
      <c r="E99" s="1">
        <v>7</v>
      </c>
      <c r="F99" s="1">
        <v>2</v>
      </c>
      <c r="G99" s="1">
        <v>3</v>
      </c>
      <c r="H99" s="111">
        <f t="shared" si="2"/>
        <v>4495.22</v>
      </c>
    </row>
    <row r="100" spans="2:10" outlineLevel="2" x14ac:dyDescent="0.35">
      <c r="B100" s="1" t="s">
        <v>177</v>
      </c>
      <c r="C100" s="1" t="s">
        <v>99</v>
      </c>
      <c r="D100" s="1">
        <v>3</v>
      </c>
      <c r="E100" s="1">
        <v>9</v>
      </c>
      <c r="F100" s="1">
        <v>8</v>
      </c>
      <c r="G100" s="1">
        <v>5</v>
      </c>
      <c r="H100" s="111">
        <f t="shared" si="2"/>
        <v>6391.9000000000005</v>
      </c>
    </row>
    <row r="101" spans="2:10" outlineLevel="2" x14ac:dyDescent="0.35">
      <c r="B101" s="1" t="s">
        <v>178</v>
      </c>
      <c r="C101" s="1" t="s">
        <v>99</v>
      </c>
      <c r="D101" s="1">
        <v>5</v>
      </c>
      <c r="E101" s="1">
        <v>4</v>
      </c>
      <c r="F101" s="1">
        <v>5</v>
      </c>
      <c r="G101" s="1">
        <v>2</v>
      </c>
      <c r="H101" s="111">
        <f t="shared" si="2"/>
        <v>5486.48</v>
      </c>
    </row>
    <row r="102" spans="2:10" outlineLevel="2" x14ac:dyDescent="0.35">
      <c r="B102" s="1" t="s">
        <v>181</v>
      </c>
      <c r="C102" s="1" t="s">
        <v>99</v>
      </c>
      <c r="D102" s="1">
        <v>6</v>
      </c>
      <c r="E102" s="1">
        <v>4</v>
      </c>
      <c r="F102" s="1">
        <v>5</v>
      </c>
      <c r="G102" s="1">
        <v>5</v>
      </c>
      <c r="H102" s="111">
        <f t="shared" si="2"/>
        <v>6413.9000000000005</v>
      </c>
    </row>
    <row r="103" spans="2:10" outlineLevel="2" x14ac:dyDescent="0.35">
      <c r="B103" s="1" t="s">
        <v>183</v>
      </c>
      <c r="C103" s="1" t="s">
        <v>99</v>
      </c>
      <c r="D103" s="1">
        <v>7</v>
      </c>
      <c r="E103" s="1">
        <v>5</v>
      </c>
      <c r="F103" s="1">
        <v>5</v>
      </c>
      <c r="G103" s="1">
        <v>3</v>
      </c>
      <c r="H103" s="111">
        <f t="shared" si="2"/>
        <v>7146.8700000000008</v>
      </c>
    </row>
    <row r="104" spans="2:10" outlineLevel="2" x14ac:dyDescent="0.35">
      <c r="B104" s="1" t="s">
        <v>184</v>
      </c>
      <c r="C104" s="1" t="s">
        <v>99</v>
      </c>
      <c r="D104" s="1">
        <v>4</v>
      </c>
      <c r="E104" s="1">
        <v>2</v>
      </c>
      <c r="F104" s="1">
        <v>4</v>
      </c>
      <c r="G104" s="1">
        <v>2</v>
      </c>
      <c r="H104" s="111">
        <f t="shared" si="2"/>
        <v>4104.58</v>
      </c>
    </row>
    <row r="105" spans="2:10" outlineLevel="2" x14ac:dyDescent="0.35">
      <c r="B105" s="1" t="s">
        <v>186</v>
      </c>
      <c r="C105" s="1" t="s">
        <v>99</v>
      </c>
      <c r="D105" s="1">
        <v>0</v>
      </c>
      <c r="E105" s="1">
        <v>9</v>
      </c>
      <c r="F105" s="1">
        <v>5</v>
      </c>
      <c r="G105" s="1">
        <v>4</v>
      </c>
      <c r="H105" s="111">
        <f t="shared" si="2"/>
        <v>3761.71</v>
      </c>
    </row>
    <row r="106" spans="2:10" outlineLevel="2" x14ac:dyDescent="0.35">
      <c r="B106" s="1" t="s">
        <v>187</v>
      </c>
      <c r="C106" s="1" t="s">
        <v>99</v>
      </c>
      <c r="D106" s="1">
        <v>7</v>
      </c>
      <c r="E106" s="1">
        <v>4</v>
      </c>
      <c r="F106" s="1">
        <v>9</v>
      </c>
      <c r="G106" s="1">
        <v>7</v>
      </c>
      <c r="H106" s="111">
        <f t="shared" si="2"/>
        <v>8032.630000000001</v>
      </c>
      <c r="I106" t="str">
        <f t="shared" ref="I106:I117" si="3">LEFT(G136,K106)</f>
        <v/>
      </c>
      <c r="J106" t="str">
        <f t="shared" ref="J106:J117" si="4">RIGHT(G136,L106-K106)</f>
        <v/>
      </c>
    </row>
    <row r="107" spans="2:10" outlineLevel="2" x14ac:dyDescent="0.35">
      <c r="B107" s="1" t="s">
        <v>133</v>
      </c>
      <c r="C107" s="1" t="s">
        <v>99</v>
      </c>
      <c r="D107" s="1">
        <v>5</v>
      </c>
      <c r="E107" s="1">
        <v>2</v>
      </c>
      <c r="F107" s="1">
        <v>6</v>
      </c>
      <c r="G107" s="1">
        <v>8</v>
      </c>
      <c r="H107" s="111">
        <f t="shared" si="2"/>
        <v>5701.37</v>
      </c>
      <c r="I107" t="str">
        <f t="shared" si="3"/>
        <v/>
      </c>
      <c r="J107" t="str">
        <f t="shared" si="4"/>
        <v/>
      </c>
    </row>
    <row r="108" spans="2:10" outlineLevel="2" x14ac:dyDescent="0.35">
      <c r="B108" s="1" t="s">
        <v>188</v>
      </c>
      <c r="C108" s="1" t="s">
        <v>99</v>
      </c>
      <c r="D108" s="1">
        <v>7</v>
      </c>
      <c r="E108" s="1">
        <v>5</v>
      </c>
      <c r="F108" s="1">
        <v>4</v>
      </c>
      <c r="G108" s="1">
        <v>9</v>
      </c>
      <c r="H108" s="111">
        <f t="shared" ref="H108:H139" si="5">($K$7*D108)+($K$8*E108)+($K$9*F108)+($K$10*G108)</f>
        <v>7505.8600000000006</v>
      </c>
      <c r="I108" t="str">
        <f t="shared" si="3"/>
        <v/>
      </c>
      <c r="J108" t="str">
        <f t="shared" si="4"/>
        <v/>
      </c>
    </row>
    <row r="109" spans="2:10" outlineLevel="2" x14ac:dyDescent="0.35">
      <c r="B109" s="1" t="s">
        <v>189</v>
      </c>
      <c r="C109" s="1" t="s">
        <v>99</v>
      </c>
      <c r="D109" s="1">
        <v>5</v>
      </c>
      <c r="E109" s="1">
        <v>5</v>
      </c>
      <c r="F109" s="1">
        <v>4</v>
      </c>
      <c r="G109" s="1">
        <v>3</v>
      </c>
      <c r="H109" s="111">
        <f t="shared" si="5"/>
        <v>5651.02</v>
      </c>
      <c r="I109" t="str">
        <f t="shared" si="3"/>
        <v/>
      </c>
      <c r="J109" t="str">
        <f t="shared" si="4"/>
        <v/>
      </c>
    </row>
    <row r="110" spans="2:10" outlineLevel="2" x14ac:dyDescent="0.35">
      <c r="B110" s="1" t="s">
        <v>191</v>
      </c>
      <c r="C110" s="1" t="s">
        <v>99</v>
      </c>
      <c r="D110" s="1">
        <v>9</v>
      </c>
      <c r="E110" s="1">
        <v>5</v>
      </c>
      <c r="F110" s="1">
        <v>2</v>
      </c>
      <c r="G110" s="1">
        <v>7</v>
      </c>
      <c r="H110" s="111">
        <f t="shared" si="5"/>
        <v>8228.8799999999992</v>
      </c>
      <c r="I110" t="str">
        <f t="shared" si="3"/>
        <v/>
      </c>
      <c r="J110" t="str">
        <f t="shared" si="4"/>
        <v/>
      </c>
    </row>
    <row r="111" spans="2:10" outlineLevel="2" x14ac:dyDescent="0.35">
      <c r="B111" s="1" t="s">
        <v>192</v>
      </c>
      <c r="C111" s="1" t="s">
        <v>99</v>
      </c>
      <c r="D111" s="1">
        <v>4</v>
      </c>
      <c r="E111" s="1">
        <v>9</v>
      </c>
      <c r="F111" s="1">
        <v>3</v>
      </c>
      <c r="G111" s="1">
        <v>2</v>
      </c>
      <c r="H111" s="111">
        <f t="shared" si="5"/>
        <v>5784.6299999999992</v>
      </c>
      <c r="I111" t="str">
        <f t="shared" si="3"/>
        <v/>
      </c>
      <c r="J111" t="str">
        <f t="shared" si="4"/>
        <v/>
      </c>
    </row>
    <row r="112" spans="2:10" outlineLevel="2" x14ac:dyDescent="0.35">
      <c r="B112" s="1" t="s">
        <v>193</v>
      </c>
      <c r="C112" s="1" t="s">
        <v>99</v>
      </c>
      <c r="D112" s="1">
        <v>2</v>
      </c>
      <c r="E112" s="1">
        <v>6</v>
      </c>
      <c r="F112" s="1">
        <v>8</v>
      </c>
      <c r="G112" s="1">
        <v>7</v>
      </c>
      <c r="H112" s="111">
        <f t="shared" si="5"/>
        <v>5122.93</v>
      </c>
      <c r="I112" t="str">
        <f t="shared" si="3"/>
        <v/>
      </c>
      <c r="J112" t="str">
        <f t="shared" si="4"/>
        <v/>
      </c>
    </row>
    <row r="113" spans="2:10" outlineLevel="2" x14ac:dyDescent="0.35">
      <c r="B113" s="1" t="s">
        <v>196</v>
      </c>
      <c r="C113" s="1" t="s">
        <v>99</v>
      </c>
      <c r="D113" s="1">
        <v>7</v>
      </c>
      <c r="E113" s="1">
        <v>6</v>
      </c>
      <c r="F113" s="1">
        <v>8</v>
      </c>
      <c r="G113" s="1">
        <v>5</v>
      </c>
      <c r="H113" s="111">
        <f t="shared" si="5"/>
        <v>8187.7</v>
      </c>
      <c r="I113" t="str">
        <f t="shared" si="3"/>
        <v/>
      </c>
      <c r="J113" t="str">
        <f t="shared" si="4"/>
        <v/>
      </c>
    </row>
    <row r="114" spans="2:10" outlineLevel="2" x14ac:dyDescent="0.35">
      <c r="B114" s="1" t="s">
        <v>197</v>
      </c>
      <c r="C114" s="1" t="s">
        <v>99</v>
      </c>
      <c r="D114" s="1">
        <v>9</v>
      </c>
      <c r="E114" s="1">
        <v>2</v>
      </c>
      <c r="F114" s="1">
        <v>3</v>
      </c>
      <c r="G114" s="1">
        <v>7</v>
      </c>
      <c r="H114" s="111">
        <f t="shared" si="5"/>
        <v>7620.83</v>
      </c>
      <c r="I114" t="str">
        <f t="shared" si="3"/>
        <v/>
      </c>
      <c r="J114" t="str">
        <f t="shared" si="4"/>
        <v/>
      </c>
    </row>
    <row r="115" spans="2:10" outlineLevel="2" x14ac:dyDescent="0.35">
      <c r="B115" s="1" t="s">
        <v>198</v>
      </c>
      <c r="C115" s="1" t="s">
        <v>99</v>
      </c>
      <c r="D115" s="1">
        <v>1</v>
      </c>
      <c r="E115" s="1">
        <v>5</v>
      </c>
      <c r="F115" s="1">
        <v>2</v>
      </c>
      <c r="G115" s="1">
        <v>8</v>
      </c>
      <c r="H115" s="111">
        <f t="shared" si="5"/>
        <v>3121.77</v>
      </c>
      <c r="I115" t="str">
        <f t="shared" si="3"/>
        <v/>
      </c>
      <c r="J115" t="str">
        <f t="shared" si="4"/>
        <v/>
      </c>
    </row>
    <row r="116" spans="2:10" outlineLevel="2" x14ac:dyDescent="0.35">
      <c r="B116" s="1" t="s">
        <v>200</v>
      </c>
      <c r="C116" s="1" t="s">
        <v>99</v>
      </c>
      <c r="D116" s="1">
        <v>7</v>
      </c>
      <c r="E116" s="1">
        <v>5</v>
      </c>
      <c r="F116" s="1">
        <v>6</v>
      </c>
      <c r="G116" s="1">
        <v>3</v>
      </c>
      <c r="H116" s="111">
        <f t="shared" si="5"/>
        <v>7342.8200000000006</v>
      </c>
      <c r="I116" t="str">
        <f t="shared" si="3"/>
        <v/>
      </c>
      <c r="J116" t="str">
        <f t="shared" si="4"/>
        <v/>
      </c>
    </row>
    <row r="117" spans="2:10" outlineLevel="2" x14ac:dyDescent="0.35">
      <c r="B117" s="1" t="s">
        <v>201</v>
      </c>
      <c r="C117" s="1" t="s">
        <v>99</v>
      </c>
      <c r="D117" s="1">
        <v>6</v>
      </c>
      <c r="E117" s="1">
        <v>8</v>
      </c>
      <c r="F117" s="1">
        <v>5</v>
      </c>
      <c r="G117" s="1">
        <v>4</v>
      </c>
      <c r="H117" s="111">
        <f t="shared" si="5"/>
        <v>7393.4100000000008</v>
      </c>
      <c r="I117" t="str">
        <f t="shared" si="3"/>
        <v/>
      </c>
      <c r="J117" t="str">
        <f t="shared" si="4"/>
        <v/>
      </c>
    </row>
    <row r="118" spans="2:10" outlineLevel="2" x14ac:dyDescent="0.35">
      <c r="B118" s="1" t="s">
        <v>202</v>
      </c>
      <c r="C118" s="1" t="s">
        <v>99</v>
      </c>
      <c r="D118" s="1">
        <v>4</v>
      </c>
      <c r="E118" s="1">
        <v>7</v>
      </c>
      <c r="F118" s="1">
        <v>8</v>
      </c>
      <c r="G118" s="1">
        <v>3</v>
      </c>
      <c r="H118" s="111">
        <f t="shared" si="5"/>
        <v>6320.87</v>
      </c>
      <c r="I118" t="str">
        <f>LEFT(G149,K118)</f>
        <v/>
      </c>
      <c r="J118" t="str">
        <f>RIGHT(G149,L118-K118)</f>
        <v/>
      </c>
    </row>
    <row r="119" spans="2:10" outlineLevel="2" x14ac:dyDescent="0.35">
      <c r="B119" s="1" t="s">
        <v>204</v>
      </c>
      <c r="C119" s="1" t="s">
        <v>99</v>
      </c>
      <c r="D119" s="1">
        <v>2</v>
      </c>
      <c r="E119" s="1">
        <v>8</v>
      </c>
      <c r="F119" s="1">
        <v>4</v>
      </c>
      <c r="G119" s="1">
        <v>8</v>
      </c>
      <c r="H119" s="111">
        <f t="shared" si="5"/>
        <v>4967.62</v>
      </c>
      <c r="J119" t="str">
        <f>RIGHT(G150,L119-K119)</f>
        <v/>
      </c>
    </row>
    <row r="120" spans="2:10" outlineLevel="2" x14ac:dyDescent="0.35">
      <c r="B120" s="1" t="s">
        <v>205</v>
      </c>
      <c r="C120" s="1" t="s">
        <v>99</v>
      </c>
      <c r="D120" s="1">
        <v>6</v>
      </c>
      <c r="E120" s="1">
        <v>3</v>
      </c>
      <c r="F120" s="1">
        <v>4</v>
      </c>
      <c r="G120" s="1">
        <v>2</v>
      </c>
      <c r="H120" s="111">
        <f t="shared" si="5"/>
        <v>5672.4800000000005</v>
      </c>
    </row>
    <row r="121" spans="2:10" outlineLevel="2" x14ac:dyDescent="0.35">
      <c r="B121" s="1" t="s">
        <v>206</v>
      </c>
      <c r="C121" s="1" t="s">
        <v>99</v>
      </c>
      <c r="D121" s="1">
        <v>5</v>
      </c>
      <c r="E121" s="1">
        <v>2</v>
      </c>
      <c r="F121" s="1">
        <v>5</v>
      </c>
      <c r="G121" s="1">
        <v>5</v>
      </c>
      <c r="H121" s="111">
        <f t="shared" si="5"/>
        <v>5227.95</v>
      </c>
    </row>
    <row r="122" spans="2:10" outlineLevel="2" x14ac:dyDescent="0.35">
      <c r="B122" s="1" t="s">
        <v>208</v>
      </c>
      <c r="C122" s="1" t="s">
        <v>99</v>
      </c>
      <c r="D122" s="1">
        <v>6</v>
      </c>
      <c r="E122" s="1">
        <v>7</v>
      </c>
      <c r="F122" s="1">
        <v>7</v>
      </c>
      <c r="G122" s="1">
        <v>4</v>
      </c>
      <c r="H122" s="111">
        <f t="shared" si="5"/>
        <v>7517.31</v>
      </c>
    </row>
    <row r="123" spans="2:10" outlineLevel="2" x14ac:dyDescent="0.35">
      <c r="B123" s="1" t="s">
        <v>209</v>
      </c>
      <c r="C123" s="1" t="s">
        <v>99</v>
      </c>
      <c r="D123" s="1">
        <v>4</v>
      </c>
      <c r="E123" s="1">
        <v>9</v>
      </c>
      <c r="F123" s="1">
        <v>5</v>
      </c>
      <c r="G123" s="1">
        <v>2</v>
      </c>
      <c r="H123" s="111">
        <f t="shared" si="5"/>
        <v>6176.53</v>
      </c>
    </row>
    <row r="124" spans="2:10" outlineLevel="2" x14ac:dyDescent="0.35">
      <c r="B124" s="1" t="s">
        <v>210</v>
      </c>
      <c r="C124" s="1" t="s">
        <v>99</v>
      </c>
      <c r="D124" s="1">
        <v>1</v>
      </c>
      <c r="E124" s="1">
        <v>4</v>
      </c>
      <c r="F124" s="1">
        <v>2</v>
      </c>
      <c r="G124" s="1">
        <v>7</v>
      </c>
      <c r="H124" s="111">
        <f t="shared" si="5"/>
        <v>2761.2799999999997</v>
      </c>
    </row>
    <row r="125" spans="2:10" outlineLevel="2" x14ac:dyDescent="0.35">
      <c r="B125" s="1" t="s">
        <v>213</v>
      </c>
      <c r="C125" s="1" t="s">
        <v>99</v>
      </c>
      <c r="D125" s="1">
        <v>1</v>
      </c>
      <c r="E125" s="1">
        <v>3</v>
      </c>
      <c r="F125" s="1">
        <v>7</v>
      </c>
      <c r="G125" s="1">
        <v>8</v>
      </c>
      <c r="H125" s="111">
        <f t="shared" si="5"/>
        <v>3565.52</v>
      </c>
    </row>
    <row r="126" spans="2:10" outlineLevel="2" x14ac:dyDescent="0.35">
      <c r="B126" s="1" t="s">
        <v>215</v>
      </c>
      <c r="C126" s="1" t="s">
        <v>99</v>
      </c>
      <c r="D126" s="1">
        <v>6</v>
      </c>
      <c r="E126" s="1">
        <v>5</v>
      </c>
      <c r="F126" s="1">
        <v>2</v>
      </c>
      <c r="G126" s="1">
        <v>6</v>
      </c>
      <c r="H126" s="111">
        <f t="shared" si="5"/>
        <v>6186.54</v>
      </c>
    </row>
    <row r="127" spans="2:10" outlineLevel="2" x14ac:dyDescent="0.35">
      <c r="B127" s="1" t="s">
        <v>216</v>
      </c>
      <c r="C127" s="1" t="s">
        <v>99</v>
      </c>
      <c r="D127" s="1">
        <v>4</v>
      </c>
      <c r="E127" s="1">
        <v>7</v>
      </c>
      <c r="F127" s="1">
        <v>6</v>
      </c>
      <c r="G127" s="1">
        <v>4</v>
      </c>
      <c r="H127" s="111">
        <f t="shared" si="5"/>
        <v>6021.46</v>
      </c>
    </row>
    <row r="128" spans="2:10" outlineLevel="2" x14ac:dyDescent="0.35">
      <c r="B128" s="1" t="s">
        <v>217</v>
      </c>
      <c r="C128" s="1" t="s">
        <v>99</v>
      </c>
      <c r="D128" s="1">
        <v>6</v>
      </c>
      <c r="E128" s="1">
        <v>2</v>
      </c>
      <c r="F128" s="1">
        <v>7</v>
      </c>
      <c r="G128" s="1">
        <v>0</v>
      </c>
      <c r="H128" s="111">
        <f t="shared" si="5"/>
        <v>5807.35</v>
      </c>
    </row>
    <row r="129" spans="2:8" outlineLevel="2" x14ac:dyDescent="0.35">
      <c r="B129" s="1" t="s">
        <v>219</v>
      </c>
      <c r="C129" s="1" t="s">
        <v>99</v>
      </c>
      <c r="D129" s="1">
        <v>7</v>
      </c>
      <c r="E129" s="1">
        <v>6</v>
      </c>
      <c r="F129" s="1">
        <v>2</v>
      </c>
      <c r="G129" s="1">
        <v>5</v>
      </c>
      <c r="H129" s="111">
        <f t="shared" si="5"/>
        <v>7012</v>
      </c>
    </row>
    <row r="130" spans="2:8" outlineLevel="2" x14ac:dyDescent="0.35">
      <c r="B130" s="1" t="s">
        <v>220</v>
      </c>
      <c r="C130" s="1" t="s">
        <v>99</v>
      </c>
      <c r="D130" s="1">
        <v>10</v>
      </c>
      <c r="E130" s="1">
        <v>0</v>
      </c>
      <c r="F130" s="1">
        <v>8</v>
      </c>
      <c r="G130" s="1">
        <v>8</v>
      </c>
      <c r="H130" s="111">
        <f t="shared" si="5"/>
        <v>8807.02</v>
      </c>
    </row>
    <row r="131" spans="2:8" outlineLevel="2" x14ac:dyDescent="0.35">
      <c r="B131" s="1" t="s">
        <v>221</v>
      </c>
      <c r="C131" s="1" t="s">
        <v>99</v>
      </c>
      <c r="D131" s="1">
        <v>6</v>
      </c>
      <c r="E131" s="1">
        <v>4</v>
      </c>
      <c r="F131" s="1">
        <v>9</v>
      </c>
      <c r="G131" s="1">
        <v>2</v>
      </c>
      <c r="H131" s="111">
        <f t="shared" si="5"/>
        <v>6920.2300000000005</v>
      </c>
    </row>
    <row r="132" spans="2:8" outlineLevel="2" x14ac:dyDescent="0.35">
      <c r="B132" s="1" t="s">
        <v>224</v>
      </c>
      <c r="C132" s="1" t="s">
        <v>99</v>
      </c>
      <c r="D132" s="1">
        <v>9</v>
      </c>
      <c r="E132" s="1">
        <v>5</v>
      </c>
      <c r="F132" s="1">
        <v>2</v>
      </c>
      <c r="G132" s="1">
        <v>6</v>
      </c>
      <c r="H132" s="111">
        <f t="shared" si="5"/>
        <v>8136.3899999999994</v>
      </c>
    </row>
    <row r="133" spans="2:8" outlineLevel="2" x14ac:dyDescent="0.35">
      <c r="B133" s="1" t="s">
        <v>226</v>
      </c>
      <c r="C133" s="1" t="s">
        <v>99</v>
      </c>
      <c r="D133" s="1">
        <v>5</v>
      </c>
      <c r="E133" s="1">
        <v>4</v>
      </c>
      <c r="F133" s="1">
        <v>6</v>
      </c>
      <c r="G133" s="1">
        <v>3</v>
      </c>
      <c r="H133" s="111">
        <f t="shared" si="5"/>
        <v>5774.92</v>
      </c>
    </row>
    <row r="134" spans="2:8" outlineLevel="2" x14ac:dyDescent="0.35">
      <c r="B134" s="1" t="s">
        <v>227</v>
      </c>
      <c r="C134" s="1" t="s">
        <v>99</v>
      </c>
      <c r="D134" s="1">
        <v>9</v>
      </c>
      <c r="E134" s="1">
        <v>2</v>
      </c>
      <c r="F134" s="1">
        <v>8</v>
      </c>
      <c r="G134" s="1">
        <v>3</v>
      </c>
      <c r="H134" s="111">
        <f t="shared" si="5"/>
        <v>8230.619999999999</v>
      </c>
    </row>
    <row r="135" spans="2:8" outlineLevel="2" x14ac:dyDescent="0.35">
      <c r="B135" s="1" t="s">
        <v>228</v>
      </c>
      <c r="C135" s="1" t="s">
        <v>99</v>
      </c>
      <c r="D135" s="1">
        <v>1</v>
      </c>
      <c r="E135" s="1">
        <v>7</v>
      </c>
      <c r="F135" s="1">
        <v>7</v>
      </c>
      <c r="G135" s="1">
        <v>5</v>
      </c>
      <c r="H135" s="111">
        <f t="shared" si="5"/>
        <v>4360.0499999999993</v>
      </c>
    </row>
    <row r="136" spans="2:8" outlineLevel="2" x14ac:dyDescent="0.35">
      <c r="B136" s="1" t="s">
        <v>230</v>
      </c>
      <c r="C136" s="1" t="s">
        <v>99</v>
      </c>
      <c r="D136" s="1">
        <v>4</v>
      </c>
      <c r="E136" s="1">
        <v>7</v>
      </c>
      <c r="F136" s="1">
        <v>5</v>
      </c>
      <c r="G136" s="1">
        <v>6</v>
      </c>
      <c r="H136" s="111">
        <f t="shared" si="5"/>
        <v>6010.49</v>
      </c>
    </row>
    <row r="137" spans="2:8" outlineLevel="2" x14ac:dyDescent="0.35">
      <c r="B137" s="1" t="s">
        <v>231</v>
      </c>
      <c r="C137" s="1" t="s">
        <v>99</v>
      </c>
      <c r="D137" s="1">
        <v>3</v>
      </c>
      <c r="E137" s="1">
        <v>5</v>
      </c>
      <c r="F137" s="1">
        <v>1</v>
      </c>
      <c r="G137" s="1">
        <v>4</v>
      </c>
      <c r="H137" s="111">
        <f t="shared" si="5"/>
        <v>3855.76</v>
      </c>
    </row>
    <row r="138" spans="2:8" outlineLevel="2" x14ac:dyDescent="0.35">
      <c r="B138" s="1" t="s">
        <v>232</v>
      </c>
      <c r="C138" s="1" t="s">
        <v>99</v>
      </c>
      <c r="D138" s="1">
        <v>6</v>
      </c>
      <c r="E138" s="1">
        <v>9</v>
      </c>
      <c r="F138" s="1">
        <v>7</v>
      </c>
      <c r="G138" s="1">
        <v>4</v>
      </c>
      <c r="H138" s="111">
        <f t="shared" si="5"/>
        <v>8053.31</v>
      </c>
    </row>
    <row r="139" spans="2:8" outlineLevel="2" x14ac:dyDescent="0.35">
      <c r="B139" s="1" t="s">
        <v>235</v>
      </c>
      <c r="C139" s="1" t="s">
        <v>99</v>
      </c>
      <c r="D139" s="1">
        <v>3</v>
      </c>
      <c r="E139" s="1">
        <v>4</v>
      </c>
      <c r="F139" s="1">
        <v>3</v>
      </c>
      <c r="G139" s="1">
        <v>0</v>
      </c>
      <c r="H139" s="111">
        <f t="shared" si="5"/>
        <v>3609.7000000000003</v>
      </c>
    </row>
    <row r="140" spans="2:8" outlineLevel="2" x14ac:dyDescent="0.35">
      <c r="B140" s="1" t="s">
        <v>237</v>
      </c>
      <c r="C140" s="1" t="s">
        <v>99</v>
      </c>
      <c r="D140" s="1">
        <v>4</v>
      </c>
      <c r="E140" s="1">
        <v>5</v>
      </c>
      <c r="F140" s="1">
        <v>7</v>
      </c>
      <c r="G140" s="1">
        <v>6</v>
      </c>
      <c r="H140" s="111">
        <f t="shared" ref="H140:H171" si="6">($K$7*D140)+($K$8*E140)+($K$9*F140)+($K$10*G140)</f>
        <v>5866.3899999999994</v>
      </c>
    </row>
    <row r="141" spans="2:8" outlineLevel="2" x14ac:dyDescent="0.35">
      <c r="B141" s="1" t="s">
        <v>239</v>
      </c>
      <c r="C141" s="1" t="s">
        <v>99</v>
      </c>
      <c r="D141" s="1">
        <v>5</v>
      </c>
      <c r="E141" s="1">
        <v>2</v>
      </c>
      <c r="F141" s="1">
        <v>6</v>
      </c>
      <c r="G141" s="1">
        <v>2</v>
      </c>
      <c r="H141" s="111">
        <f t="shared" si="6"/>
        <v>5146.4299999999994</v>
      </c>
    </row>
    <row r="142" spans="2:8" outlineLevel="2" x14ac:dyDescent="0.35">
      <c r="B142" s="1" t="s">
        <v>241</v>
      </c>
      <c r="C142" s="1" t="s">
        <v>99</v>
      </c>
      <c r="D142" s="1">
        <v>2</v>
      </c>
      <c r="E142" s="1">
        <v>5</v>
      </c>
      <c r="F142" s="1">
        <v>5</v>
      </c>
      <c r="G142" s="1">
        <v>4</v>
      </c>
      <c r="H142" s="111">
        <f t="shared" si="6"/>
        <v>3989.61</v>
      </c>
    </row>
    <row r="143" spans="2:8" outlineLevel="2" x14ac:dyDescent="0.35">
      <c r="B143" s="1" t="s">
        <v>242</v>
      </c>
      <c r="C143" s="1" t="s">
        <v>99</v>
      </c>
      <c r="D143" s="1">
        <v>5</v>
      </c>
      <c r="E143" s="1">
        <v>6</v>
      </c>
      <c r="F143" s="1">
        <v>6</v>
      </c>
      <c r="G143" s="1">
        <v>4</v>
      </c>
      <c r="H143" s="111">
        <f t="shared" si="6"/>
        <v>6403.41</v>
      </c>
    </row>
    <row r="144" spans="2:8" outlineLevel="2" x14ac:dyDescent="0.35">
      <c r="B144" s="1" t="s">
        <v>243</v>
      </c>
      <c r="C144" s="1" t="s">
        <v>99</v>
      </c>
      <c r="D144" s="1">
        <v>6</v>
      </c>
      <c r="E144" s="1">
        <v>9</v>
      </c>
      <c r="F144" s="1">
        <v>6</v>
      </c>
      <c r="G144" s="1">
        <v>7</v>
      </c>
      <c r="H144" s="111">
        <f t="shared" si="6"/>
        <v>8134.8300000000008</v>
      </c>
    </row>
    <row r="145" spans="2:10" outlineLevel="2" x14ac:dyDescent="0.35">
      <c r="B145" s="1" t="s">
        <v>244</v>
      </c>
      <c r="C145" s="1" t="s">
        <v>99</v>
      </c>
      <c r="D145" s="1">
        <v>4</v>
      </c>
      <c r="E145" s="1">
        <v>8</v>
      </c>
      <c r="F145" s="1">
        <v>11</v>
      </c>
      <c r="G145" s="1">
        <v>8</v>
      </c>
      <c r="H145" s="111">
        <f t="shared" si="6"/>
        <v>7639.17</v>
      </c>
    </row>
    <row r="146" spans="2:10" outlineLevel="2" x14ac:dyDescent="0.35">
      <c r="B146" s="1" t="s">
        <v>247</v>
      </c>
      <c r="C146" s="1" t="s">
        <v>99</v>
      </c>
      <c r="D146" s="1">
        <v>0</v>
      </c>
      <c r="E146" s="1">
        <v>5</v>
      </c>
      <c r="F146" s="1">
        <v>8</v>
      </c>
      <c r="G146" s="1">
        <v>5</v>
      </c>
      <c r="H146" s="111">
        <f t="shared" si="6"/>
        <v>3370.0499999999997</v>
      </c>
    </row>
    <row r="147" spans="2:10" outlineLevel="2" x14ac:dyDescent="0.35">
      <c r="B147" s="29" t="s">
        <v>248</v>
      </c>
      <c r="C147" s="1" t="s">
        <v>99</v>
      </c>
      <c r="D147" s="1">
        <v>7</v>
      </c>
      <c r="E147" s="1">
        <v>8</v>
      </c>
      <c r="F147" s="1">
        <v>4</v>
      </c>
      <c r="G147" s="1">
        <v>9</v>
      </c>
      <c r="H147" s="111">
        <f t="shared" si="6"/>
        <v>8309.86</v>
      </c>
    </row>
    <row r="148" spans="2:10" outlineLevel="1" x14ac:dyDescent="0.35">
      <c r="B148" s="29"/>
      <c r="C148" s="5" t="s">
        <v>498</v>
      </c>
      <c r="D148" s="1">
        <f>SUBTOTAL(9,D76:D147)</f>
        <v>367</v>
      </c>
      <c r="E148" s="1"/>
      <c r="F148" s="1"/>
      <c r="G148" s="1"/>
      <c r="H148" s="111">
        <f>SUBTOTAL(9,H76:H147)</f>
        <v>442555.66</v>
      </c>
    </row>
    <row r="149" spans="2:10" outlineLevel="2" x14ac:dyDescent="0.35">
      <c r="B149" s="29" t="s">
        <v>95</v>
      </c>
      <c r="C149" s="1" t="s">
        <v>96</v>
      </c>
      <c r="D149" s="1">
        <v>2</v>
      </c>
      <c r="E149" s="1">
        <v>3</v>
      </c>
      <c r="F149" s="1">
        <v>6</v>
      </c>
      <c r="G149" s="1">
        <v>4</v>
      </c>
      <c r="H149" s="111">
        <f t="shared" ref="H149:H171" si="7">($K$7*D149)+($K$8*E149)+($K$9*F149)+($K$10*G149)</f>
        <v>3649.56</v>
      </c>
    </row>
    <row r="150" spans="2:10" outlineLevel="2" x14ac:dyDescent="0.35">
      <c r="B150" s="1" t="s">
        <v>105</v>
      </c>
      <c r="C150" s="1" t="s">
        <v>96</v>
      </c>
      <c r="D150" s="1">
        <v>3</v>
      </c>
      <c r="E150" s="1">
        <v>2</v>
      </c>
      <c r="F150" s="1">
        <v>2</v>
      </c>
      <c r="G150" s="1">
        <v>9</v>
      </c>
      <c r="H150" s="111">
        <f t="shared" si="7"/>
        <v>3710.1600000000003</v>
      </c>
    </row>
    <row r="151" spans="2:10" outlineLevel="2" x14ac:dyDescent="0.35">
      <c r="B151" s="1" t="s">
        <v>111</v>
      </c>
      <c r="C151" s="1" t="s">
        <v>96</v>
      </c>
      <c r="D151" s="1">
        <v>5</v>
      </c>
      <c r="E151" s="1">
        <v>5</v>
      </c>
      <c r="F151" s="1">
        <v>1</v>
      </c>
      <c r="G151" s="1">
        <v>5</v>
      </c>
      <c r="H151" s="111">
        <f t="shared" si="7"/>
        <v>5248.15</v>
      </c>
    </row>
    <row r="152" spans="2:10" outlineLevel="2" x14ac:dyDescent="0.35">
      <c r="B152" s="1" t="s">
        <v>123</v>
      </c>
      <c r="C152" s="1" t="s">
        <v>96</v>
      </c>
      <c r="D152" s="1">
        <v>5</v>
      </c>
      <c r="E152" s="1">
        <v>8</v>
      </c>
      <c r="F152" s="1">
        <v>6</v>
      </c>
      <c r="G152" s="1">
        <v>3</v>
      </c>
      <c r="H152" s="111">
        <f t="shared" si="7"/>
        <v>6846.92</v>
      </c>
    </row>
    <row r="153" spans="2:10" outlineLevel="2" x14ac:dyDescent="0.35">
      <c r="B153" s="1" t="s">
        <v>124</v>
      </c>
      <c r="C153" s="1" t="s">
        <v>96</v>
      </c>
      <c r="D153" s="1">
        <v>3</v>
      </c>
      <c r="E153" s="1">
        <v>5</v>
      </c>
      <c r="F153" s="1">
        <v>8</v>
      </c>
      <c r="G153" s="1">
        <v>1</v>
      </c>
      <c r="H153" s="111">
        <f t="shared" si="7"/>
        <v>4949.9400000000005</v>
      </c>
    </row>
    <row r="154" spans="2:10" outlineLevel="2" x14ac:dyDescent="0.35">
      <c r="B154" s="1" t="s">
        <v>130</v>
      </c>
      <c r="C154" s="1" t="s">
        <v>96</v>
      </c>
      <c r="D154" s="1">
        <v>4</v>
      </c>
      <c r="E154" s="1">
        <v>2</v>
      </c>
      <c r="F154" s="1">
        <v>4</v>
      </c>
      <c r="G154" s="1">
        <v>7</v>
      </c>
      <c r="H154" s="111">
        <f t="shared" si="7"/>
        <v>4567.0300000000007</v>
      </c>
    </row>
    <row r="155" spans="2:10" outlineLevel="2" x14ac:dyDescent="0.35">
      <c r="B155" s="1" t="s">
        <v>134</v>
      </c>
      <c r="C155" s="1" t="s">
        <v>96</v>
      </c>
      <c r="D155" s="1">
        <v>7</v>
      </c>
      <c r="E155" s="1">
        <v>1</v>
      </c>
      <c r="F155" s="1">
        <v>4</v>
      </c>
      <c r="G155" s="1">
        <v>9</v>
      </c>
      <c r="H155" s="111">
        <f t="shared" si="7"/>
        <v>6433.8600000000006</v>
      </c>
    </row>
    <row r="156" spans="2:10" outlineLevel="2" x14ac:dyDescent="0.35">
      <c r="B156" s="1" t="s">
        <v>151</v>
      </c>
      <c r="C156" s="1" t="s">
        <v>96</v>
      </c>
      <c r="D156" s="1">
        <v>10</v>
      </c>
      <c r="E156" s="1">
        <v>5</v>
      </c>
      <c r="F156" s="1">
        <v>7</v>
      </c>
      <c r="G156" s="1">
        <v>6</v>
      </c>
      <c r="H156" s="111">
        <f t="shared" si="7"/>
        <v>9766.09</v>
      </c>
    </row>
    <row r="157" spans="2:10" outlineLevel="2" x14ac:dyDescent="0.35">
      <c r="B157" s="1" t="s">
        <v>158</v>
      </c>
      <c r="C157" s="1" t="s">
        <v>96</v>
      </c>
      <c r="D157" s="1">
        <v>4</v>
      </c>
      <c r="E157" s="1">
        <v>5</v>
      </c>
      <c r="F157" s="1">
        <v>5</v>
      </c>
      <c r="G157" s="1">
        <v>9</v>
      </c>
      <c r="H157" s="111">
        <f t="shared" si="7"/>
        <v>5751.96</v>
      </c>
    </row>
    <row r="158" spans="2:10" outlineLevel="2" x14ac:dyDescent="0.35">
      <c r="B158" s="1" t="s">
        <v>159</v>
      </c>
      <c r="C158" s="1" t="s">
        <v>96</v>
      </c>
      <c r="D158" s="1">
        <v>2</v>
      </c>
      <c r="E158" s="1">
        <v>9</v>
      </c>
      <c r="F158" s="1">
        <v>6</v>
      </c>
      <c r="G158" s="1">
        <v>4</v>
      </c>
      <c r="H158" s="111">
        <f t="shared" si="7"/>
        <v>5257.56</v>
      </c>
    </row>
    <row r="159" spans="2:10" outlineLevel="2" x14ac:dyDescent="0.35">
      <c r="B159" s="1" t="s">
        <v>161</v>
      </c>
      <c r="C159" s="1" t="s">
        <v>96</v>
      </c>
      <c r="D159" s="1">
        <v>4</v>
      </c>
      <c r="E159" s="1">
        <v>2</v>
      </c>
      <c r="F159" s="1">
        <v>5</v>
      </c>
      <c r="G159" s="1">
        <v>6</v>
      </c>
      <c r="H159" s="111">
        <f t="shared" si="7"/>
        <v>4670.49</v>
      </c>
    </row>
    <row r="160" spans="2:10" outlineLevel="2" x14ac:dyDescent="0.35">
      <c r="B160" s="1" t="s">
        <v>203</v>
      </c>
      <c r="C160" s="1" t="s">
        <v>96</v>
      </c>
      <c r="D160" s="1">
        <v>3</v>
      </c>
      <c r="E160" s="1">
        <v>9</v>
      </c>
      <c r="F160" s="1">
        <v>9</v>
      </c>
      <c r="G160" s="1">
        <v>7</v>
      </c>
      <c r="H160" s="111">
        <f t="shared" si="7"/>
        <v>6772.8300000000008</v>
      </c>
      <c r="I160" t="str">
        <f>LEFT(G194,K160)</f>
        <v/>
      </c>
      <c r="J160" t="str">
        <f>RIGHT(G194,L160-K160)</f>
        <v/>
      </c>
    </row>
    <row r="161" spans="2:8" outlineLevel="2" x14ac:dyDescent="0.35">
      <c r="B161" s="1" t="s">
        <v>214</v>
      </c>
      <c r="C161" s="1" t="s">
        <v>96</v>
      </c>
      <c r="D161" s="1">
        <v>3</v>
      </c>
      <c r="E161" s="1">
        <v>7</v>
      </c>
      <c r="F161" s="1">
        <v>4</v>
      </c>
      <c r="G161" s="1">
        <v>9</v>
      </c>
      <c r="H161" s="111">
        <f t="shared" si="7"/>
        <v>5442.06</v>
      </c>
    </row>
    <row r="162" spans="2:8" outlineLevel="2" x14ac:dyDescent="0.35">
      <c r="B162" s="1" t="s">
        <v>218</v>
      </c>
      <c r="C162" s="1" t="s">
        <v>96</v>
      </c>
      <c r="D162" s="1">
        <v>9</v>
      </c>
      <c r="E162" s="1">
        <v>0</v>
      </c>
      <c r="F162" s="1">
        <v>8</v>
      </c>
      <c r="G162" s="1">
        <v>4</v>
      </c>
      <c r="H162" s="111">
        <f t="shared" si="7"/>
        <v>7787.11</v>
      </c>
    </row>
    <row r="163" spans="2:8" outlineLevel="2" x14ac:dyDescent="0.35">
      <c r="B163" s="1" t="s">
        <v>225</v>
      </c>
      <c r="C163" s="1" t="s">
        <v>96</v>
      </c>
      <c r="D163" s="1">
        <v>5</v>
      </c>
      <c r="E163" s="1">
        <v>5</v>
      </c>
      <c r="F163" s="1">
        <v>3</v>
      </c>
      <c r="G163" s="1">
        <v>9</v>
      </c>
      <c r="H163" s="111">
        <f t="shared" si="7"/>
        <v>6010.01</v>
      </c>
    </row>
    <row r="164" spans="2:8" outlineLevel="2" x14ac:dyDescent="0.35">
      <c r="B164" s="1" t="s">
        <v>229</v>
      </c>
      <c r="C164" s="1" t="s">
        <v>96</v>
      </c>
      <c r="D164" s="1">
        <v>4</v>
      </c>
      <c r="E164" s="1">
        <v>4</v>
      </c>
      <c r="F164" s="1">
        <v>5</v>
      </c>
      <c r="G164" s="1">
        <v>8</v>
      </c>
      <c r="H164" s="111">
        <f t="shared" si="7"/>
        <v>5391.47</v>
      </c>
    </row>
    <row r="165" spans="2:8" outlineLevel="2" x14ac:dyDescent="0.35">
      <c r="B165" s="1" t="s">
        <v>236</v>
      </c>
      <c r="C165" s="1" t="s">
        <v>96</v>
      </c>
      <c r="D165" s="1">
        <v>1</v>
      </c>
      <c r="E165" s="1">
        <v>6</v>
      </c>
      <c r="F165" s="1">
        <v>1</v>
      </c>
      <c r="G165" s="1">
        <v>0</v>
      </c>
      <c r="H165" s="111">
        <f t="shared" si="7"/>
        <v>2453.8999999999996</v>
      </c>
    </row>
    <row r="166" spans="2:8" outlineLevel="2" x14ac:dyDescent="0.35">
      <c r="B166" s="1" t="s">
        <v>240</v>
      </c>
      <c r="C166" s="1" t="s">
        <v>96</v>
      </c>
      <c r="D166" s="1">
        <v>4</v>
      </c>
      <c r="E166" s="1">
        <v>3</v>
      </c>
      <c r="F166" s="1">
        <v>7</v>
      </c>
      <c r="G166" s="1">
        <v>6</v>
      </c>
      <c r="H166" s="111">
        <f t="shared" si="7"/>
        <v>5330.3899999999994</v>
      </c>
    </row>
    <row r="167" spans="2:8" outlineLevel="2" x14ac:dyDescent="0.35">
      <c r="B167" s="29" t="s">
        <v>249</v>
      </c>
      <c r="C167" s="1" t="s">
        <v>96</v>
      </c>
      <c r="D167" s="1">
        <v>5</v>
      </c>
      <c r="E167" s="1">
        <v>2</v>
      </c>
      <c r="F167" s="1">
        <v>3</v>
      </c>
      <c r="G167" s="1">
        <v>2</v>
      </c>
      <c r="H167" s="111">
        <f t="shared" si="7"/>
        <v>4558.58</v>
      </c>
    </row>
    <row r="168" spans="2:8" outlineLevel="2" x14ac:dyDescent="0.35">
      <c r="B168" s="1" t="s">
        <v>250</v>
      </c>
      <c r="C168" s="1" t="s">
        <v>96</v>
      </c>
      <c r="D168" s="1">
        <v>7</v>
      </c>
      <c r="E168" s="1">
        <v>4</v>
      </c>
      <c r="F168" s="1">
        <v>4</v>
      </c>
      <c r="G168" s="1">
        <v>4</v>
      </c>
      <c r="H168" s="111">
        <f t="shared" si="7"/>
        <v>6775.4100000000008</v>
      </c>
    </row>
    <row r="169" spans="2:8" outlineLevel="2" x14ac:dyDescent="0.35">
      <c r="B169" s="1" t="s">
        <v>253</v>
      </c>
      <c r="C169" s="1" t="s">
        <v>96</v>
      </c>
      <c r="D169" s="1">
        <v>5</v>
      </c>
      <c r="E169" s="1">
        <v>6</v>
      </c>
      <c r="F169" s="1">
        <v>7</v>
      </c>
      <c r="G169" s="1">
        <v>5</v>
      </c>
      <c r="H169" s="111">
        <f t="shared" si="7"/>
        <v>6691.8499999999995</v>
      </c>
    </row>
    <row r="170" spans="2:8" outlineLevel="2" x14ac:dyDescent="0.35">
      <c r="B170" s="1" t="s">
        <v>186</v>
      </c>
      <c r="C170" s="1" t="s">
        <v>96</v>
      </c>
      <c r="D170" s="1">
        <v>6</v>
      </c>
      <c r="E170" s="1">
        <v>3</v>
      </c>
      <c r="F170" s="1">
        <v>5</v>
      </c>
      <c r="G170" s="1">
        <v>2</v>
      </c>
      <c r="H170" s="111">
        <f t="shared" si="7"/>
        <v>5868.43</v>
      </c>
    </row>
    <row r="171" spans="2:8" outlineLevel="2" x14ac:dyDescent="0.35">
      <c r="B171" s="1" t="s">
        <v>254</v>
      </c>
      <c r="C171" s="1" t="s">
        <v>96</v>
      </c>
      <c r="D171" s="1">
        <v>5</v>
      </c>
      <c r="E171" s="1">
        <v>4</v>
      </c>
      <c r="F171" s="1">
        <v>14</v>
      </c>
      <c r="G171" s="1">
        <v>5</v>
      </c>
      <c r="H171" s="111">
        <f t="shared" si="7"/>
        <v>7527.4999999999991</v>
      </c>
    </row>
    <row r="172" spans="2:8" outlineLevel="1" x14ac:dyDescent="0.35">
      <c r="B172" s="1"/>
      <c r="C172" s="5" t="s">
        <v>499</v>
      </c>
      <c r="D172" s="1">
        <f>SUBTOTAL(9,D149:D171)</f>
        <v>106</v>
      </c>
      <c r="E172" s="1"/>
      <c r="F172" s="1"/>
      <c r="G172" s="1"/>
      <c r="H172" s="111">
        <f>SUBTOTAL(9,H149:H171)</f>
        <v>131461.26</v>
      </c>
    </row>
    <row r="173" spans="2:8" x14ac:dyDescent="0.35">
      <c r="B173" s="1"/>
      <c r="C173" s="5" t="s">
        <v>494</v>
      </c>
      <c r="D173" s="1">
        <f>SUBTOTAL(9,D8:D171)</f>
        <v>832</v>
      </c>
      <c r="E173" s="1"/>
      <c r="F173" s="1"/>
      <c r="G173" s="1"/>
      <c r="H173" s="111">
        <f>SUBTOTAL(9,H8:H171)</f>
        <v>997947.14000000048</v>
      </c>
    </row>
    <row r="174" spans="2:8" outlineLevel="1" x14ac:dyDescent="0.35">
      <c r="B174" s="1"/>
      <c r="C174" s="5"/>
      <c r="D174" s="1"/>
      <c r="E174" s="1"/>
      <c r="F174" s="1"/>
      <c r="G174" s="1"/>
      <c r="H174" s="111"/>
    </row>
    <row r="175" spans="2:8" x14ac:dyDescent="0.35">
      <c r="B175" s="1"/>
      <c r="C175" s="5"/>
      <c r="D175" s="1"/>
      <c r="E175" s="1"/>
      <c r="F175" s="1"/>
      <c r="G175" s="1"/>
      <c r="H175" s="111"/>
    </row>
  </sheetData>
  <sortState xmlns:xlrd2="http://schemas.microsoft.com/office/spreadsheetml/2017/richdata2" ref="B8:J171">
    <sortCondition ref="C8:C171"/>
  </sortState>
  <mergeCells count="1">
    <mergeCell ref="B4:K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4D833-A848-4C6D-A1B5-DF650D583A4C}">
  <dimension ref="B4:K167"/>
  <sheetViews>
    <sheetView topLeftCell="A6" workbookViewId="0">
      <selection activeCell="M11" sqref="M11"/>
    </sheetView>
  </sheetViews>
  <sheetFormatPr defaultRowHeight="14.5" x14ac:dyDescent="0.35"/>
  <cols>
    <col min="2" max="2" width="13.26953125" bestFit="1" customWidth="1"/>
    <col min="3" max="3" width="7.7265625" bestFit="1" customWidth="1"/>
    <col min="5" max="5" width="17.453125" bestFit="1" customWidth="1"/>
    <col min="7" max="7" width="10.81640625" bestFit="1" customWidth="1"/>
    <col min="8" max="8" width="10.26953125" bestFit="1" customWidth="1"/>
    <col min="10" max="10" width="12" bestFit="1" customWidth="1"/>
  </cols>
  <sheetData>
    <row r="4" spans="2:11" ht="23.5" x14ac:dyDescent="0.55000000000000004">
      <c r="B4" s="190" t="s">
        <v>296</v>
      </c>
      <c r="C4" s="190"/>
      <c r="D4" s="190"/>
      <c r="E4" s="190"/>
      <c r="F4" s="190"/>
      <c r="G4" s="190"/>
      <c r="H4" s="190"/>
      <c r="I4" s="190"/>
      <c r="J4" s="190"/>
      <c r="K4" s="190"/>
    </row>
    <row r="7" spans="2:11" ht="15.5" x14ac:dyDescent="0.35">
      <c r="B7" s="28" t="s">
        <v>86</v>
      </c>
      <c r="C7" s="28" t="s">
        <v>87</v>
      </c>
      <c r="D7" s="28" t="s">
        <v>88</v>
      </c>
      <c r="E7" s="28" t="s">
        <v>89</v>
      </c>
      <c r="F7" s="28" t="s">
        <v>90</v>
      </c>
      <c r="G7" s="28" t="s">
        <v>91</v>
      </c>
      <c r="H7" s="28" t="s">
        <v>92</v>
      </c>
    </row>
    <row r="8" spans="2:11" x14ac:dyDescent="0.35">
      <c r="B8" s="29" t="s">
        <v>93</v>
      </c>
      <c r="C8" s="1" t="s">
        <v>94</v>
      </c>
      <c r="D8" s="1">
        <v>3</v>
      </c>
      <c r="E8" s="1">
        <v>7</v>
      </c>
      <c r="F8" s="1">
        <v>6</v>
      </c>
      <c r="G8" s="1">
        <v>8</v>
      </c>
      <c r="J8" t="s">
        <v>88</v>
      </c>
      <c r="K8" s="30">
        <v>649.95000000000005</v>
      </c>
    </row>
    <row r="9" spans="2:11" x14ac:dyDescent="0.35">
      <c r="B9" s="29" t="s">
        <v>95</v>
      </c>
      <c r="C9" s="1" t="s">
        <v>96</v>
      </c>
      <c r="D9" s="1">
        <v>2</v>
      </c>
      <c r="E9" s="1">
        <v>3</v>
      </c>
      <c r="F9" s="1">
        <v>6</v>
      </c>
      <c r="G9" s="1">
        <v>4</v>
      </c>
      <c r="J9" t="s">
        <v>89</v>
      </c>
      <c r="K9" s="30">
        <v>268</v>
      </c>
    </row>
    <row r="10" spans="2:11" x14ac:dyDescent="0.35">
      <c r="B10" s="29" t="s">
        <v>97</v>
      </c>
      <c r="C10" s="1" t="s">
        <v>94</v>
      </c>
      <c r="D10" s="1">
        <v>8</v>
      </c>
      <c r="E10" s="1">
        <v>5</v>
      </c>
      <c r="F10" s="1">
        <v>2</v>
      </c>
      <c r="G10" s="1">
        <v>7</v>
      </c>
      <c r="J10" t="s">
        <v>90</v>
      </c>
      <c r="K10" s="30">
        <v>195.95</v>
      </c>
    </row>
    <row r="11" spans="2:11" x14ac:dyDescent="0.35">
      <c r="B11" s="1" t="s">
        <v>98</v>
      </c>
      <c r="C11" s="1" t="s">
        <v>99</v>
      </c>
      <c r="D11" s="1">
        <v>5</v>
      </c>
      <c r="E11" s="1">
        <v>5</v>
      </c>
      <c r="F11" s="1">
        <v>8</v>
      </c>
      <c r="G11" s="1">
        <v>3</v>
      </c>
      <c r="J11" t="s">
        <v>91</v>
      </c>
      <c r="K11" s="30">
        <v>92.49</v>
      </c>
    </row>
    <row r="12" spans="2:11" x14ac:dyDescent="0.35">
      <c r="B12" s="1" t="s">
        <v>100</v>
      </c>
      <c r="C12" s="1" t="s">
        <v>94</v>
      </c>
      <c r="D12" s="1">
        <v>5</v>
      </c>
      <c r="E12" s="1">
        <v>3</v>
      </c>
      <c r="F12" s="1">
        <v>2</v>
      </c>
      <c r="G12" s="1">
        <v>3</v>
      </c>
    </row>
    <row r="13" spans="2:11" x14ac:dyDescent="0.35">
      <c r="B13" s="1" t="s">
        <v>101</v>
      </c>
      <c r="C13" s="1" t="s">
        <v>94</v>
      </c>
      <c r="D13" s="1">
        <v>7</v>
      </c>
      <c r="E13" s="1">
        <v>7</v>
      </c>
      <c r="F13" s="1">
        <v>9</v>
      </c>
      <c r="G13" s="1">
        <v>7</v>
      </c>
    </row>
    <row r="14" spans="2:11" x14ac:dyDescent="0.35">
      <c r="B14" s="29" t="s">
        <v>102</v>
      </c>
      <c r="C14" s="1" t="s">
        <v>99</v>
      </c>
      <c r="D14" s="1">
        <v>4</v>
      </c>
      <c r="E14" s="1">
        <v>9</v>
      </c>
      <c r="F14" s="1">
        <v>5</v>
      </c>
      <c r="G14" s="1">
        <v>2</v>
      </c>
    </row>
    <row r="15" spans="2:11" x14ac:dyDescent="0.35">
      <c r="B15" s="29" t="s">
        <v>103</v>
      </c>
      <c r="C15" s="1" t="s">
        <v>99</v>
      </c>
      <c r="D15" s="1">
        <v>5</v>
      </c>
      <c r="E15" s="1">
        <v>6</v>
      </c>
      <c r="F15" s="1">
        <v>8</v>
      </c>
      <c r="G15" s="1">
        <v>5</v>
      </c>
    </row>
    <row r="16" spans="2:11" x14ac:dyDescent="0.35">
      <c r="B16" s="29" t="s">
        <v>104</v>
      </c>
      <c r="C16" s="1" t="s">
        <v>94</v>
      </c>
      <c r="D16" s="1">
        <v>8</v>
      </c>
      <c r="E16" s="1">
        <v>5</v>
      </c>
      <c r="F16" s="1">
        <v>5</v>
      </c>
      <c r="G16" s="1">
        <v>2</v>
      </c>
    </row>
    <row r="17" spans="2:10" x14ac:dyDescent="0.35">
      <c r="B17" s="1" t="s">
        <v>105</v>
      </c>
      <c r="C17" s="1" t="s">
        <v>96</v>
      </c>
      <c r="D17" s="1">
        <v>3</v>
      </c>
      <c r="E17" s="1">
        <v>2</v>
      </c>
      <c r="F17" s="1">
        <v>2</v>
      </c>
      <c r="G17" s="1">
        <v>9</v>
      </c>
    </row>
    <row r="18" spans="2:10" x14ac:dyDescent="0.35">
      <c r="B18" s="1" t="s">
        <v>106</v>
      </c>
      <c r="C18" s="1" t="s">
        <v>94</v>
      </c>
      <c r="D18" s="1">
        <v>8</v>
      </c>
      <c r="E18" s="1">
        <v>7</v>
      </c>
      <c r="F18" s="1">
        <v>6</v>
      </c>
      <c r="G18" s="1">
        <v>8</v>
      </c>
    </row>
    <row r="19" spans="2:10" x14ac:dyDescent="0.35">
      <c r="B19" s="1" t="s">
        <v>107</v>
      </c>
      <c r="C19" s="1" t="s">
        <v>108</v>
      </c>
      <c r="D19" s="1">
        <v>2</v>
      </c>
      <c r="E19" s="1">
        <v>8</v>
      </c>
      <c r="F19" s="1">
        <v>5</v>
      </c>
      <c r="G19" s="1">
        <v>6</v>
      </c>
    </row>
    <row r="20" spans="2:10" x14ac:dyDescent="0.35">
      <c r="B20" s="1" t="s">
        <v>109</v>
      </c>
      <c r="C20" s="1" t="s">
        <v>94</v>
      </c>
      <c r="D20" s="1">
        <v>6</v>
      </c>
      <c r="E20" s="1">
        <v>3</v>
      </c>
      <c r="F20" s="1">
        <v>9</v>
      </c>
      <c r="G20" s="1">
        <v>7</v>
      </c>
    </row>
    <row r="21" spans="2:10" x14ac:dyDescent="0.35">
      <c r="B21" s="1" t="s">
        <v>110</v>
      </c>
      <c r="C21" s="1" t="s">
        <v>94</v>
      </c>
      <c r="D21" s="1">
        <v>8</v>
      </c>
      <c r="E21" s="1">
        <v>3</v>
      </c>
      <c r="F21" s="1">
        <v>3</v>
      </c>
      <c r="G21" s="1">
        <v>8</v>
      </c>
    </row>
    <row r="22" spans="2:10" x14ac:dyDescent="0.35">
      <c r="B22" s="1" t="s">
        <v>111</v>
      </c>
      <c r="C22" s="1" t="s">
        <v>96</v>
      </c>
      <c r="D22" s="1">
        <v>5</v>
      </c>
      <c r="E22" s="1">
        <v>5</v>
      </c>
      <c r="F22" s="1">
        <v>1</v>
      </c>
      <c r="G22" s="1">
        <v>5</v>
      </c>
    </row>
    <row r="23" spans="2:10" x14ac:dyDescent="0.35">
      <c r="B23" s="1" t="s">
        <v>112</v>
      </c>
      <c r="C23" s="1" t="s">
        <v>94</v>
      </c>
      <c r="D23" s="1">
        <v>6</v>
      </c>
      <c r="E23" s="1">
        <v>3</v>
      </c>
      <c r="F23" s="1">
        <v>0</v>
      </c>
      <c r="G23" s="1">
        <v>5</v>
      </c>
      <c r="I23" t="str">
        <f t="shared" ref="I23:I31" si="0">LEFT(G53,K23)</f>
        <v/>
      </c>
      <c r="J23" t="str">
        <f t="shared" ref="J23:J31" si="1">RIGHT(G53,L23-K23)</f>
        <v/>
      </c>
    </row>
    <row r="24" spans="2:10" x14ac:dyDescent="0.35">
      <c r="B24" s="1" t="s">
        <v>113</v>
      </c>
      <c r="C24" s="1" t="s">
        <v>94</v>
      </c>
      <c r="D24" s="1">
        <v>2</v>
      </c>
      <c r="E24" s="1">
        <v>7</v>
      </c>
      <c r="F24" s="1">
        <v>0</v>
      </c>
      <c r="G24" s="1">
        <v>1</v>
      </c>
      <c r="I24" t="str">
        <f t="shared" si="0"/>
        <v/>
      </c>
      <c r="J24" t="str">
        <f t="shared" si="1"/>
        <v/>
      </c>
    </row>
    <row r="25" spans="2:10" x14ac:dyDescent="0.35">
      <c r="B25" s="1" t="s">
        <v>114</v>
      </c>
      <c r="C25" s="1" t="s">
        <v>108</v>
      </c>
      <c r="D25" s="1">
        <v>4</v>
      </c>
      <c r="E25" s="1">
        <v>4</v>
      </c>
      <c r="F25" s="1">
        <v>5</v>
      </c>
      <c r="G25" s="1">
        <v>6</v>
      </c>
      <c r="I25" t="str">
        <f t="shared" si="0"/>
        <v/>
      </c>
      <c r="J25" t="str">
        <f t="shared" si="1"/>
        <v/>
      </c>
    </row>
    <row r="26" spans="2:10" x14ac:dyDescent="0.35">
      <c r="B26" s="1" t="s">
        <v>101</v>
      </c>
      <c r="C26" s="1" t="s">
        <v>94</v>
      </c>
      <c r="D26" s="1">
        <v>6</v>
      </c>
      <c r="E26" s="1">
        <v>7</v>
      </c>
      <c r="F26" s="1">
        <v>8</v>
      </c>
      <c r="G26" s="1">
        <v>5</v>
      </c>
      <c r="I26" t="str">
        <f t="shared" si="0"/>
        <v/>
      </c>
      <c r="J26" t="str">
        <f t="shared" si="1"/>
        <v/>
      </c>
    </row>
    <row r="27" spans="2:10" x14ac:dyDescent="0.35">
      <c r="B27" s="1" t="s">
        <v>115</v>
      </c>
      <c r="C27" s="1" t="s">
        <v>94</v>
      </c>
      <c r="D27" s="1">
        <v>6</v>
      </c>
      <c r="E27" s="1">
        <v>4</v>
      </c>
      <c r="F27" s="1">
        <v>6</v>
      </c>
      <c r="G27" s="1">
        <v>4</v>
      </c>
      <c r="I27" t="str">
        <f t="shared" si="0"/>
        <v/>
      </c>
      <c r="J27" t="str">
        <f t="shared" si="1"/>
        <v/>
      </c>
    </row>
    <row r="28" spans="2:10" x14ac:dyDescent="0.35">
      <c r="B28" s="1" t="s">
        <v>116</v>
      </c>
      <c r="C28" s="1" t="s">
        <v>94</v>
      </c>
      <c r="D28" s="1">
        <v>8</v>
      </c>
      <c r="E28" s="1">
        <v>4</v>
      </c>
      <c r="F28" s="1">
        <v>9</v>
      </c>
      <c r="G28" s="1">
        <v>6</v>
      </c>
      <c r="I28" t="str">
        <f t="shared" si="0"/>
        <v/>
      </c>
      <c r="J28" t="str">
        <f t="shared" si="1"/>
        <v/>
      </c>
    </row>
    <row r="29" spans="2:10" x14ac:dyDescent="0.35">
      <c r="B29" s="1" t="s">
        <v>117</v>
      </c>
      <c r="C29" s="1" t="s">
        <v>94</v>
      </c>
      <c r="D29" s="1">
        <v>8</v>
      </c>
      <c r="E29" s="1">
        <v>8</v>
      </c>
      <c r="F29" s="1">
        <v>4</v>
      </c>
      <c r="G29" s="1">
        <v>5</v>
      </c>
      <c r="I29" t="str">
        <f t="shared" si="0"/>
        <v/>
      </c>
      <c r="J29" t="str">
        <f t="shared" si="1"/>
        <v/>
      </c>
    </row>
    <row r="30" spans="2:10" x14ac:dyDescent="0.35">
      <c r="B30" s="1" t="s">
        <v>118</v>
      </c>
      <c r="C30" s="1" t="s">
        <v>108</v>
      </c>
      <c r="D30" s="1">
        <v>2</v>
      </c>
      <c r="E30" s="1">
        <v>6</v>
      </c>
      <c r="F30" s="1">
        <v>7</v>
      </c>
      <c r="G30" s="1">
        <v>6</v>
      </c>
      <c r="I30" t="str">
        <f t="shared" si="0"/>
        <v/>
      </c>
      <c r="J30" t="str">
        <f t="shared" si="1"/>
        <v/>
      </c>
    </row>
    <row r="31" spans="2:10" x14ac:dyDescent="0.35">
      <c r="B31" s="1" t="s">
        <v>119</v>
      </c>
      <c r="C31" s="1" t="s">
        <v>94</v>
      </c>
      <c r="D31" s="1">
        <v>2</v>
      </c>
      <c r="E31" s="1">
        <v>7</v>
      </c>
      <c r="F31" s="1">
        <v>6</v>
      </c>
      <c r="G31" s="1">
        <v>4</v>
      </c>
      <c r="I31" t="str">
        <f t="shared" si="0"/>
        <v/>
      </c>
      <c r="J31" t="str">
        <f t="shared" si="1"/>
        <v/>
      </c>
    </row>
    <row r="32" spans="2:10" x14ac:dyDescent="0.35">
      <c r="B32" s="1" t="s">
        <v>120</v>
      </c>
      <c r="C32" s="1" t="s">
        <v>94</v>
      </c>
      <c r="D32" s="1">
        <v>1</v>
      </c>
      <c r="E32" s="1">
        <v>4</v>
      </c>
      <c r="F32" s="1">
        <v>7</v>
      </c>
      <c r="G32" s="1">
        <v>5</v>
      </c>
    </row>
    <row r="33" spans="2:7" x14ac:dyDescent="0.35">
      <c r="B33" s="1" t="s">
        <v>121</v>
      </c>
      <c r="C33" s="1" t="s">
        <v>94</v>
      </c>
      <c r="D33" s="1">
        <v>8</v>
      </c>
      <c r="E33" s="1">
        <v>3</v>
      </c>
      <c r="F33" s="1">
        <v>7</v>
      </c>
      <c r="G33" s="1">
        <v>8</v>
      </c>
    </row>
    <row r="34" spans="2:7" x14ac:dyDescent="0.35">
      <c r="B34" s="1" t="s">
        <v>122</v>
      </c>
      <c r="C34" s="1" t="s">
        <v>99</v>
      </c>
      <c r="D34" s="1">
        <v>7</v>
      </c>
      <c r="E34" s="1">
        <v>5</v>
      </c>
      <c r="F34" s="1">
        <v>0</v>
      </c>
      <c r="G34" s="1">
        <v>5</v>
      </c>
    </row>
    <row r="35" spans="2:7" x14ac:dyDescent="0.35">
      <c r="B35" s="1" t="s">
        <v>123</v>
      </c>
      <c r="C35" s="1" t="s">
        <v>96</v>
      </c>
      <c r="D35" s="1">
        <v>5</v>
      </c>
      <c r="E35" s="1">
        <v>8</v>
      </c>
      <c r="F35" s="1">
        <v>6</v>
      </c>
      <c r="G35" s="1">
        <v>3</v>
      </c>
    </row>
    <row r="36" spans="2:7" x14ac:dyDescent="0.35">
      <c r="B36" s="1" t="s">
        <v>124</v>
      </c>
      <c r="C36" s="1" t="s">
        <v>96</v>
      </c>
      <c r="D36" s="1">
        <v>3</v>
      </c>
      <c r="E36" s="1">
        <v>5</v>
      </c>
      <c r="F36" s="1">
        <v>8</v>
      </c>
      <c r="G36" s="1">
        <v>1</v>
      </c>
    </row>
    <row r="37" spans="2:7" x14ac:dyDescent="0.35">
      <c r="B37" s="1" t="s">
        <v>125</v>
      </c>
      <c r="C37" s="1" t="s">
        <v>94</v>
      </c>
      <c r="D37" s="1">
        <v>3</v>
      </c>
      <c r="E37" s="1">
        <v>0</v>
      </c>
      <c r="F37" s="1">
        <v>9</v>
      </c>
      <c r="G37" s="1">
        <v>5</v>
      </c>
    </row>
    <row r="38" spans="2:7" x14ac:dyDescent="0.35">
      <c r="B38" s="1" t="s">
        <v>126</v>
      </c>
      <c r="C38" s="1" t="s">
        <v>108</v>
      </c>
      <c r="D38" s="1">
        <v>7</v>
      </c>
      <c r="E38" s="1">
        <v>6</v>
      </c>
      <c r="F38" s="1">
        <v>3</v>
      </c>
      <c r="G38" s="1">
        <v>0</v>
      </c>
    </row>
    <row r="39" spans="2:7" x14ac:dyDescent="0.35">
      <c r="B39" s="1" t="s">
        <v>127</v>
      </c>
      <c r="C39" s="1" t="s">
        <v>99</v>
      </c>
      <c r="D39" s="1">
        <v>5</v>
      </c>
      <c r="E39" s="1">
        <v>4</v>
      </c>
      <c r="F39" s="1">
        <v>7</v>
      </c>
      <c r="G39" s="1">
        <v>6</v>
      </c>
    </row>
    <row r="40" spans="2:7" x14ac:dyDescent="0.35">
      <c r="B40" s="1" t="s">
        <v>128</v>
      </c>
      <c r="C40" s="1" t="s">
        <v>99</v>
      </c>
      <c r="D40" s="1">
        <v>3</v>
      </c>
      <c r="E40" s="1">
        <v>3</v>
      </c>
      <c r="F40" s="1">
        <v>1</v>
      </c>
      <c r="G40" s="1">
        <v>5</v>
      </c>
    </row>
    <row r="41" spans="2:7" x14ac:dyDescent="0.35">
      <c r="B41" s="1" t="s">
        <v>129</v>
      </c>
      <c r="C41" s="1" t="s">
        <v>94</v>
      </c>
      <c r="D41" s="1">
        <v>2</v>
      </c>
      <c r="E41" s="1">
        <v>4</v>
      </c>
      <c r="F41" s="1">
        <v>7</v>
      </c>
      <c r="G41" s="1">
        <v>5</v>
      </c>
    </row>
    <row r="42" spans="2:7" x14ac:dyDescent="0.35">
      <c r="B42" s="1" t="s">
        <v>130</v>
      </c>
      <c r="C42" s="1" t="s">
        <v>96</v>
      </c>
      <c r="D42" s="1">
        <v>4</v>
      </c>
      <c r="E42" s="1">
        <v>2</v>
      </c>
      <c r="F42" s="1">
        <v>4</v>
      </c>
      <c r="G42" s="1">
        <v>7</v>
      </c>
    </row>
    <row r="43" spans="2:7" x14ac:dyDescent="0.35">
      <c r="B43" s="1" t="s">
        <v>131</v>
      </c>
      <c r="C43" s="1" t="s">
        <v>94</v>
      </c>
      <c r="D43" s="1">
        <v>7</v>
      </c>
      <c r="E43" s="1">
        <v>8</v>
      </c>
      <c r="F43" s="1">
        <v>2</v>
      </c>
      <c r="G43" s="1">
        <v>7</v>
      </c>
    </row>
    <row r="44" spans="2:7" x14ac:dyDescent="0.35">
      <c r="B44" s="1" t="s">
        <v>132</v>
      </c>
      <c r="C44" s="1" t="s">
        <v>94</v>
      </c>
      <c r="D44" s="1">
        <v>8</v>
      </c>
      <c r="E44" s="1">
        <v>5</v>
      </c>
      <c r="F44" s="1">
        <v>1</v>
      </c>
      <c r="G44" s="1">
        <v>4</v>
      </c>
    </row>
    <row r="45" spans="2:7" x14ac:dyDescent="0.35">
      <c r="B45" s="1" t="s">
        <v>133</v>
      </c>
      <c r="C45" s="1" t="s">
        <v>94</v>
      </c>
      <c r="D45" s="1">
        <v>7</v>
      </c>
      <c r="E45" s="1">
        <v>5</v>
      </c>
      <c r="F45" s="1">
        <v>6</v>
      </c>
      <c r="G45" s="1">
        <v>7</v>
      </c>
    </row>
    <row r="46" spans="2:7" x14ac:dyDescent="0.35">
      <c r="B46" s="1" t="s">
        <v>134</v>
      </c>
      <c r="C46" s="1" t="s">
        <v>96</v>
      </c>
      <c r="D46" s="1">
        <v>7</v>
      </c>
      <c r="E46" s="1">
        <v>1</v>
      </c>
      <c r="F46" s="1">
        <v>4</v>
      </c>
      <c r="G46" s="1">
        <v>9</v>
      </c>
    </row>
    <row r="47" spans="2:7" x14ac:dyDescent="0.35">
      <c r="B47" s="1" t="s">
        <v>135</v>
      </c>
      <c r="C47" s="1" t="s">
        <v>94</v>
      </c>
      <c r="D47" s="1">
        <v>2</v>
      </c>
      <c r="E47" s="1">
        <v>8</v>
      </c>
      <c r="F47" s="1">
        <v>8</v>
      </c>
      <c r="G47" s="1">
        <v>7</v>
      </c>
    </row>
    <row r="48" spans="2:7" x14ac:dyDescent="0.35">
      <c r="B48" s="1" t="s">
        <v>136</v>
      </c>
      <c r="C48" s="1" t="s">
        <v>94</v>
      </c>
      <c r="D48" s="1">
        <v>8</v>
      </c>
      <c r="E48" s="1">
        <v>4</v>
      </c>
      <c r="F48" s="1">
        <v>3</v>
      </c>
      <c r="G48" s="1">
        <v>7</v>
      </c>
    </row>
    <row r="49" spans="2:10" x14ac:dyDescent="0.35">
      <c r="B49" s="1" t="s">
        <v>137</v>
      </c>
      <c r="C49" s="1" t="s">
        <v>94</v>
      </c>
      <c r="D49" s="1">
        <v>2</v>
      </c>
      <c r="E49" s="1">
        <v>8</v>
      </c>
      <c r="F49" s="1">
        <v>4</v>
      </c>
      <c r="G49" s="1">
        <v>7</v>
      </c>
    </row>
    <row r="50" spans="2:10" x14ac:dyDescent="0.35">
      <c r="B50" s="1" t="s">
        <v>138</v>
      </c>
      <c r="C50" s="1" t="s">
        <v>94</v>
      </c>
      <c r="D50" s="1">
        <v>8</v>
      </c>
      <c r="E50" s="1">
        <v>5</v>
      </c>
      <c r="F50" s="1">
        <v>9</v>
      </c>
      <c r="G50" s="1">
        <v>0</v>
      </c>
    </row>
    <row r="51" spans="2:10" x14ac:dyDescent="0.35">
      <c r="B51" s="1" t="s">
        <v>139</v>
      </c>
      <c r="C51" s="1" t="s">
        <v>94</v>
      </c>
      <c r="D51" s="1">
        <v>8</v>
      </c>
      <c r="E51" s="1">
        <v>8</v>
      </c>
      <c r="F51" s="1">
        <v>10</v>
      </c>
      <c r="G51" s="1">
        <v>0</v>
      </c>
    </row>
    <row r="52" spans="2:10" x14ac:dyDescent="0.35">
      <c r="B52" s="1" t="s">
        <v>140</v>
      </c>
      <c r="C52" s="1" t="s">
        <v>94</v>
      </c>
      <c r="D52" s="1">
        <v>2</v>
      </c>
      <c r="E52" s="1">
        <v>7</v>
      </c>
      <c r="F52" s="1">
        <v>3</v>
      </c>
      <c r="G52" s="1">
        <v>3</v>
      </c>
    </row>
    <row r="53" spans="2:10" x14ac:dyDescent="0.35">
      <c r="B53" s="1" t="s">
        <v>141</v>
      </c>
      <c r="C53" s="1" t="s">
        <v>94</v>
      </c>
      <c r="D53" s="1">
        <v>8</v>
      </c>
      <c r="E53" s="1">
        <v>7</v>
      </c>
      <c r="F53" s="1">
        <v>2</v>
      </c>
      <c r="G53" s="1">
        <v>4</v>
      </c>
    </row>
    <row r="54" spans="2:10" x14ac:dyDescent="0.35">
      <c r="B54" s="29" t="s">
        <v>142</v>
      </c>
      <c r="C54" s="1" t="s">
        <v>108</v>
      </c>
      <c r="D54" s="1">
        <v>4</v>
      </c>
      <c r="E54" s="1">
        <v>4</v>
      </c>
      <c r="F54" s="1">
        <v>0</v>
      </c>
      <c r="G54" s="1">
        <v>1</v>
      </c>
    </row>
    <row r="55" spans="2:10" x14ac:dyDescent="0.35">
      <c r="B55" s="1" t="s">
        <v>143</v>
      </c>
      <c r="C55" s="1" t="s">
        <v>108</v>
      </c>
      <c r="D55" s="1">
        <v>3</v>
      </c>
      <c r="E55" s="1">
        <v>8</v>
      </c>
      <c r="F55" s="1">
        <v>8</v>
      </c>
      <c r="G55" s="1">
        <v>7</v>
      </c>
    </row>
    <row r="56" spans="2:10" x14ac:dyDescent="0.35">
      <c r="B56" s="1" t="s">
        <v>144</v>
      </c>
      <c r="C56" s="1" t="s">
        <v>94</v>
      </c>
      <c r="D56" s="1">
        <v>2</v>
      </c>
      <c r="E56" s="1">
        <v>7</v>
      </c>
      <c r="F56" s="1">
        <v>4</v>
      </c>
      <c r="G56" s="1">
        <v>5</v>
      </c>
    </row>
    <row r="57" spans="2:10" x14ac:dyDescent="0.35">
      <c r="B57" s="1" t="s">
        <v>145</v>
      </c>
      <c r="C57" s="1" t="s">
        <v>108</v>
      </c>
      <c r="D57" s="1">
        <v>7</v>
      </c>
      <c r="E57" s="1">
        <v>3</v>
      </c>
      <c r="F57" s="1">
        <v>3</v>
      </c>
      <c r="G57" s="1">
        <v>7</v>
      </c>
    </row>
    <row r="58" spans="2:10" x14ac:dyDescent="0.35">
      <c r="B58" s="1" t="s">
        <v>146</v>
      </c>
      <c r="C58" s="1" t="s">
        <v>108</v>
      </c>
      <c r="D58" s="1">
        <v>4</v>
      </c>
      <c r="E58" s="1">
        <v>5</v>
      </c>
      <c r="F58" s="1">
        <v>5</v>
      </c>
      <c r="G58" s="1">
        <v>2</v>
      </c>
    </row>
    <row r="59" spans="2:10" x14ac:dyDescent="0.35">
      <c r="B59" s="1" t="s">
        <v>147</v>
      </c>
      <c r="C59" s="1" t="s">
        <v>108</v>
      </c>
      <c r="D59" s="1">
        <v>0</v>
      </c>
      <c r="E59" s="1">
        <v>5</v>
      </c>
      <c r="F59" s="1">
        <v>8</v>
      </c>
      <c r="G59" s="1">
        <v>2</v>
      </c>
      <c r="I59" t="str">
        <f>LEFT(G89,K59)</f>
        <v/>
      </c>
      <c r="J59" t="str">
        <f>RIGHT(G89,L59-K59)</f>
        <v/>
      </c>
    </row>
    <row r="60" spans="2:10" x14ac:dyDescent="0.35">
      <c r="B60" s="1" t="s">
        <v>148</v>
      </c>
      <c r="C60" s="1" t="s">
        <v>99</v>
      </c>
      <c r="D60" s="1">
        <v>3</v>
      </c>
      <c r="E60" s="1">
        <v>0</v>
      </c>
      <c r="F60" s="1">
        <v>5</v>
      </c>
      <c r="G60" s="1">
        <v>9</v>
      </c>
      <c r="I60" t="str">
        <f>LEFT(G90,K60)</f>
        <v/>
      </c>
      <c r="J60" t="str">
        <f>RIGHT(G90,L60-K60)</f>
        <v/>
      </c>
    </row>
    <row r="61" spans="2:10" x14ac:dyDescent="0.35">
      <c r="B61" s="1" t="s">
        <v>149</v>
      </c>
      <c r="C61" s="1" t="s">
        <v>108</v>
      </c>
      <c r="D61" s="1">
        <v>8</v>
      </c>
      <c r="E61" s="1">
        <v>7</v>
      </c>
      <c r="F61" s="1">
        <v>5</v>
      </c>
      <c r="G61" s="1">
        <v>5</v>
      </c>
    </row>
    <row r="62" spans="2:10" x14ac:dyDescent="0.35">
      <c r="B62" s="1" t="s">
        <v>150</v>
      </c>
      <c r="C62" s="1" t="s">
        <v>108</v>
      </c>
      <c r="D62" s="1">
        <v>3</v>
      </c>
      <c r="E62" s="1">
        <v>9</v>
      </c>
      <c r="F62" s="1">
        <v>2</v>
      </c>
      <c r="G62" s="1">
        <v>8</v>
      </c>
    </row>
    <row r="63" spans="2:10" x14ac:dyDescent="0.35">
      <c r="B63" s="1" t="s">
        <v>151</v>
      </c>
      <c r="C63" s="1" t="s">
        <v>96</v>
      </c>
      <c r="D63" s="1">
        <v>10</v>
      </c>
      <c r="E63" s="1">
        <v>5</v>
      </c>
      <c r="F63" s="1">
        <v>7</v>
      </c>
      <c r="G63" s="1">
        <v>6</v>
      </c>
    </row>
    <row r="64" spans="2:10" x14ac:dyDescent="0.35">
      <c r="B64" s="1" t="s">
        <v>152</v>
      </c>
      <c r="C64" s="1" t="s">
        <v>99</v>
      </c>
      <c r="D64" s="1">
        <v>8</v>
      </c>
      <c r="E64" s="1">
        <v>2</v>
      </c>
      <c r="F64" s="1">
        <v>5</v>
      </c>
      <c r="G64" s="1">
        <v>5</v>
      </c>
    </row>
    <row r="65" spans="2:7" x14ac:dyDescent="0.35">
      <c r="B65" s="1" t="s">
        <v>153</v>
      </c>
      <c r="C65" s="1" t="s">
        <v>108</v>
      </c>
      <c r="D65" s="1">
        <v>9</v>
      </c>
      <c r="E65" s="1">
        <v>6</v>
      </c>
      <c r="F65" s="1">
        <v>3</v>
      </c>
      <c r="G65" s="1">
        <v>9</v>
      </c>
    </row>
    <row r="66" spans="2:7" x14ac:dyDescent="0.35">
      <c r="B66" s="29" t="s">
        <v>154</v>
      </c>
      <c r="C66" s="1" t="s">
        <v>99</v>
      </c>
      <c r="D66" s="1">
        <v>8</v>
      </c>
      <c r="E66" s="1">
        <v>3</v>
      </c>
      <c r="F66" s="1">
        <v>4</v>
      </c>
      <c r="G66" s="1">
        <v>3</v>
      </c>
    </row>
    <row r="67" spans="2:7" x14ac:dyDescent="0.35">
      <c r="B67" s="29" t="s">
        <v>155</v>
      </c>
      <c r="C67" s="1" t="s">
        <v>99</v>
      </c>
      <c r="D67" s="1">
        <v>5</v>
      </c>
      <c r="E67" s="1">
        <v>2</v>
      </c>
      <c r="F67" s="1">
        <v>5</v>
      </c>
      <c r="G67" s="1">
        <v>6</v>
      </c>
    </row>
    <row r="68" spans="2:7" x14ac:dyDescent="0.35">
      <c r="B68" s="29" t="s">
        <v>156</v>
      </c>
      <c r="C68" s="1" t="s">
        <v>99</v>
      </c>
      <c r="D68" s="1">
        <v>5</v>
      </c>
      <c r="E68" s="1">
        <v>6</v>
      </c>
      <c r="F68" s="1">
        <v>8</v>
      </c>
      <c r="G68" s="1">
        <v>5</v>
      </c>
    </row>
    <row r="69" spans="2:7" x14ac:dyDescent="0.35">
      <c r="B69" s="29" t="s">
        <v>157</v>
      </c>
      <c r="C69" s="1" t="s">
        <v>99</v>
      </c>
      <c r="D69" s="1">
        <v>9</v>
      </c>
      <c r="E69" s="1">
        <v>7</v>
      </c>
      <c r="F69" s="1">
        <v>5</v>
      </c>
      <c r="G69" s="1">
        <v>6</v>
      </c>
    </row>
    <row r="70" spans="2:7" x14ac:dyDescent="0.35">
      <c r="B70" s="1" t="s">
        <v>158</v>
      </c>
      <c r="C70" s="1" t="s">
        <v>96</v>
      </c>
      <c r="D70" s="1">
        <v>4</v>
      </c>
      <c r="E70" s="1">
        <v>5</v>
      </c>
      <c r="F70" s="1">
        <v>5</v>
      </c>
      <c r="G70" s="1">
        <v>9</v>
      </c>
    </row>
    <row r="71" spans="2:7" x14ac:dyDescent="0.35">
      <c r="B71" s="1" t="s">
        <v>159</v>
      </c>
      <c r="C71" s="1" t="s">
        <v>96</v>
      </c>
      <c r="D71" s="1">
        <v>2</v>
      </c>
      <c r="E71" s="1">
        <v>9</v>
      </c>
      <c r="F71" s="1">
        <v>6</v>
      </c>
      <c r="G71" s="1">
        <v>4</v>
      </c>
    </row>
    <row r="72" spans="2:7" x14ac:dyDescent="0.35">
      <c r="B72" s="1" t="s">
        <v>160</v>
      </c>
      <c r="C72" s="1" t="s">
        <v>99</v>
      </c>
      <c r="D72" s="1">
        <v>7</v>
      </c>
      <c r="E72" s="1">
        <v>4</v>
      </c>
      <c r="F72" s="1">
        <v>5</v>
      </c>
      <c r="G72" s="1">
        <v>2</v>
      </c>
    </row>
    <row r="73" spans="2:7" x14ac:dyDescent="0.35">
      <c r="B73" s="1" t="s">
        <v>161</v>
      </c>
      <c r="C73" s="1" t="s">
        <v>96</v>
      </c>
      <c r="D73" s="1">
        <v>4</v>
      </c>
      <c r="E73" s="1">
        <v>2</v>
      </c>
      <c r="F73" s="1">
        <v>5</v>
      </c>
      <c r="G73" s="1">
        <v>6</v>
      </c>
    </row>
    <row r="74" spans="2:7" x14ac:dyDescent="0.35">
      <c r="B74" s="1" t="s">
        <v>162</v>
      </c>
      <c r="C74" s="1" t="s">
        <v>99</v>
      </c>
      <c r="D74" s="1">
        <v>1</v>
      </c>
      <c r="E74" s="1">
        <v>5</v>
      </c>
      <c r="F74" s="1">
        <v>8</v>
      </c>
      <c r="G74" s="1">
        <v>5</v>
      </c>
    </row>
    <row r="75" spans="2:7" x14ac:dyDescent="0.35">
      <c r="B75" s="1" t="s">
        <v>163</v>
      </c>
      <c r="C75" s="1" t="s">
        <v>99</v>
      </c>
      <c r="D75" s="1">
        <v>5</v>
      </c>
      <c r="E75" s="1">
        <v>4</v>
      </c>
      <c r="F75" s="1">
        <v>5</v>
      </c>
      <c r="G75" s="1">
        <v>2</v>
      </c>
    </row>
    <row r="76" spans="2:7" x14ac:dyDescent="0.35">
      <c r="B76" s="29" t="s">
        <v>164</v>
      </c>
      <c r="C76" s="1" t="s">
        <v>99</v>
      </c>
      <c r="D76" s="1">
        <v>8</v>
      </c>
      <c r="E76" s="1">
        <v>2</v>
      </c>
      <c r="F76" s="1">
        <v>4</v>
      </c>
      <c r="G76" s="1">
        <v>5</v>
      </c>
    </row>
    <row r="77" spans="2:7" x14ac:dyDescent="0.35">
      <c r="B77" s="29" t="s">
        <v>165</v>
      </c>
      <c r="C77" s="1" t="s">
        <v>99</v>
      </c>
      <c r="D77" s="1">
        <v>9</v>
      </c>
      <c r="E77" s="1">
        <v>7</v>
      </c>
      <c r="F77" s="1">
        <v>3</v>
      </c>
      <c r="G77" s="1">
        <v>8</v>
      </c>
    </row>
    <row r="78" spans="2:7" x14ac:dyDescent="0.35">
      <c r="B78" s="29" t="s">
        <v>166</v>
      </c>
      <c r="C78" s="1" t="s">
        <v>99</v>
      </c>
      <c r="D78" s="1">
        <v>0</v>
      </c>
      <c r="E78" s="1">
        <v>5</v>
      </c>
      <c r="F78" s="1">
        <v>2</v>
      </c>
      <c r="G78" s="1">
        <v>9</v>
      </c>
    </row>
    <row r="79" spans="2:7" x14ac:dyDescent="0.35">
      <c r="B79" s="29" t="s">
        <v>167</v>
      </c>
      <c r="C79" s="1" t="s">
        <v>99</v>
      </c>
      <c r="D79" s="1">
        <v>6</v>
      </c>
      <c r="E79" s="1">
        <v>8</v>
      </c>
      <c r="F79" s="1">
        <v>8</v>
      </c>
      <c r="G79" s="1">
        <v>3</v>
      </c>
    </row>
    <row r="80" spans="2:7" x14ac:dyDescent="0.35">
      <c r="B80" s="29" t="s">
        <v>168</v>
      </c>
      <c r="C80" s="1" t="s">
        <v>99</v>
      </c>
      <c r="D80" s="1">
        <v>7</v>
      </c>
      <c r="E80" s="1">
        <v>1</v>
      </c>
      <c r="F80" s="1">
        <v>2</v>
      </c>
      <c r="G80" s="1">
        <v>3</v>
      </c>
    </row>
    <row r="81" spans="2:7" x14ac:dyDescent="0.35">
      <c r="B81" s="29" t="s">
        <v>169</v>
      </c>
      <c r="C81" s="1" t="s">
        <v>94</v>
      </c>
      <c r="D81" s="1">
        <v>4</v>
      </c>
      <c r="E81" s="1">
        <v>3</v>
      </c>
      <c r="F81" s="1">
        <v>5</v>
      </c>
      <c r="G81" s="1">
        <v>6</v>
      </c>
    </row>
    <row r="82" spans="2:7" x14ac:dyDescent="0.35">
      <c r="B82" s="29" t="s">
        <v>170</v>
      </c>
      <c r="C82" s="1" t="s">
        <v>99</v>
      </c>
      <c r="D82" s="1">
        <v>6</v>
      </c>
      <c r="E82" s="1">
        <v>4</v>
      </c>
      <c r="F82" s="1">
        <v>9</v>
      </c>
      <c r="G82" s="1">
        <v>7</v>
      </c>
    </row>
    <row r="83" spans="2:7" x14ac:dyDescent="0.35">
      <c r="B83" s="1" t="s">
        <v>171</v>
      </c>
      <c r="C83" s="1" t="s">
        <v>99</v>
      </c>
      <c r="D83" s="1">
        <v>5</v>
      </c>
      <c r="E83" s="1">
        <v>6</v>
      </c>
      <c r="F83" s="1">
        <v>3</v>
      </c>
      <c r="G83" s="1">
        <v>8</v>
      </c>
    </row>
    <row r="84" spans="2:7" x14ac:dyDescent="0.35">
      <c r="B84" s="1" t="s">
        <v>172</v>
      </c>
      <c r="C84" s="1" t="s">
        <v>94</v>
      </c>
      <c r="D84" s="1">
        <v>5</v>
      </c>
      <c r="E84" s="1">
        <v>9</v>
      </c>
      <c r="F84" s="1">
        <v>2</v>
      </c>
      <c r="G84" s="1">
        <v>6</v>
      </c>
    </row>
    <row r="85" spans="2:7" x14ac:dyDescent="0.35">
      <c r="B85" s="1" t="s">
        <v>173</v>
      </c>
      <c r="C85" s="1" t="s">
        <v>108</v>
      </c>
      <c r="D85" s="1">
        <v>6</v>
      </c>
      <c r="E85" s="1">
        <v>4</v>
      </c>
      <c r="F85" s="1">
        <v>4</v>
      </c>
      <c r="G85" s="1">
        <v>6</v>
      </c>
    </row>
    <row r="86" spans="2:7" x14ac:dyDescent="0.35">
      <c r="B86" s="1" t="s">
        <v>174</v>
      </c>
      <c r="C86" s="1" t="s">
        <v>94</v>
      </c>
      <c r="D86" s="1">
        <v>9</v>
      </c>
      <c r="E86" s="1">
        <v>6</v>
      </c>
      <c r="F86" s="1">
        <v>7</v>
      </c>
      <c r="G86" s="1">
        <v>8</v>
      </c>
    </row>
    <row r="87" spans="2:7" x14ac:dyDescent="0.35">
      <c r="B87" s="1" t="s">
        <v>175</v>
      </c>
      <c r="C87" s="1" t="s">
        <v>99</v>
      </c>
      <c r="D87" s="1">
        <v>8</v>
      </c>
      <c r="E87" s="1">
        <v>5</v>
      </c>
      <c r="F87" s="1">
        <v>8</v>
      </c>
      <c r="G87" s="1">
        <v>3</v>
      </c>
    </row>
    <row r="88" spans="2:7" x14ac:dyDescent="0.35">
      <c r="B88" s="1" t="s">
        <v>176</v>
      </c>
      <c r="C88" s="1" t="s">
        <v>99</v>
      </c>
      <c r="D88" s="1">
        <v>3</v>
      </c>
      <c r="E88" s="1">
        <v>7</v>
      </c>
      <c r="F88" s="1">
        <v>2</v>
      </c>
      <c r="G88" s="1">
        <v>3</v>
      </c>
    </row>
    <row r="89" spans="2:7" x14ac:dyDescent="0.35">
      <c r="B89" s="1" t="s">
        <v>177</v>
      </c>
      <c r="C89" s="1" t="s">
        <v>99</v>
      </c>
      <c r="D89" s="1">
        <v>3</v>
      </c>
      <c r="E89" s="1">
        <v>9</v>
      </c>
      <c r="F89" s="1">
        <v>8</v>
      </c>
      <c r="G89" s="1">
        <v>5</v>
      </c>
    </row>
    <row r="90" spans="2:7" x14ac:dyDescent="0.35">
      <c r="B90" s="1" t="s">
        <v>178</v>
      </c>
      <c r="C90" s="1" t="s">
        <v>99</v>
      </c>
      <c r="D90" s="1">
        <v>5</v>
      </c>
      <c r="E90" s="1">
        <v>4</v>
      </c>
      <c r="F90" s="1">
        <v>5</v>
      </c>
      <c r="G90" s="1">
        <v>2</v>
      </c>
    </row>
    <row r="91" spans="2:7" x14ac:dyDescent="0.35">
      <c r="B91" s="1" t="s">
        <v>179</v>
      </c>
      <c r="C91" s="1" t="s">
        <v>94</v>
      </c>
      <c r="D91" s="1">
        <v>7</v>
      </c>
      <c r="E91" s="1">
        <v>6</v>
      </c>
      <c r="F91" s="1">
        <v>4</v>
      </c>
      <c r="G91" s="1">
        <v>5</v>
      </c>
    </row>
    <row r="92" spans="2:7" x14ac:dyDescent="0.35">
      <c r="B92" s="1" t="s">
        <v>180</v>
      </c>
      <c r="C92" s="1" t="s">
        <v>94</v>
      </c>
      <c r="D92" s="1">
        <v>9</v>
      </c>
      <c r="E92" s="1">
        <v>7</v>
      </c>
      <c r="F92" s="1">
        <v>2</v>
      </c>
      <c r="G92" s="1">
        <v>9</v>
      </c>
    </row>
    <row r="93" spans="2:7" x14ac:dyDescent="0.35">
      <c r="B93" s="1" t="s">
        <v>181</v>
      </c>
      <c r="C93" s="1" t="s">
        <v>99</v>
      </c>
      <c r="D93" s="1">
        <v>6</v>
      </c>
      <c r="E93" s="1">
        <v>4</v>
      </c>
      <c r="F93" s="1">
        <v>5</v>
      </c>
      <c r="G93" s="1">
        <v>5</v>
      </c>
    </row>
    <row r="94" spans="2:7" x14ac:dyDescent="0.35">
      <c r="B94" s="1" t="s">
        <v>182</v>
      </c>
      <c r="C94" s="1" t="s">
        <v>94</v>
      </c>
      <c r="D94" s="1">
        <v>4</v>
      </c>
      <c r="E94" s="1">
        <v>8</v>
      </c>
      <c r="F94" s="1">
        <v>7</v>
      </c>
      <c r="G94" s="1">
        <v>4</v>
      </c>
    </row>
    <row r="95" spans="2:7" x14ac:dyDescent="0.35">
      <c r="B95" s="1" t="s">
        <v>183</v>
      </c>
      <c r="C95" s="1" t="s">
        <v>99</v>
      </c>
      <c r="D95" s="1">
        <v>7</v>
      </c>
      <c r="E95" s="1">
        <v>5</v>
      </c>
      <c r="F95" s="1">
        <v>5</v>
      </c>
      <c r="G95" s="1">
        <v>3</v>
      </c>
    </row>
    <row r="96" spans="2:7" x14ac:dyDescent="0.35">
      <c r="B96" s="1" t="s">
        <v>184</v>
      </c>
      <c r="C96" s="1" t="s">
        <v>99</v>
      </c>
      <c r="D96" s="1">
        <v>4</v>
      </c>
      <c r="E96" s="1">
        <v>2</v>
      </c>
      <c r="F96" s="1">
        <v>4</v>
      </c>
      <c r="G96" s="1">
        <v>2</v>
      </c>
    </row>
    <row r="97" spans="2:10" x14ac:dyDescent="0.35">
      <c r="B97" s="1" t="s">
        <v>185</v>
      </c>
      <c r="C97" s="1" t="s">
        <v>94</v>
      </c>
      <c r="D97" s="1">
        <v>7</v>
      </c>
      <c r="E97" s="1">
        <v>8</v>
      </c>
      <c r="F97" s="1">
        <v>7</v>
      </c>
      <c r="G97" s="1">
        <v>7</v>
      </c>
    </row>
    <row r="98" spans="2:10" x14ac:dyDescent="0.35">
      <c r="B98" s="1" t="s">
        <v>186</v>
      </c>
      <c r="C98" s="1" t="s">
        <v>99</v>
      </c>
      <c r="D98" s="1">
        <v>0</v>
      </c>
      <c r="E98" s="1">
        <v>9</v>
      </c>
      <c r="F98" s="1">
        <v>5</v>
      </c>
      <c r="G98" s="1">
        <v>4</v>
      </c>
    </row>
    <row r="99" spans="2:10" x14ac:dyDescent="0.35">
      <c r="B99" s="1" t="s">
        <v>187</v>
      </c>
      <c r="C99" s="1" t="s">
        <v>99</v>
      </c>
      <c r="D99" s="1">
        <v>7</v>
      </c>
      <c r="E99" s="1">
        <v>4</v>
      </c>
      <c r="F99" s="1">
        <v>9</v>
      </c>
      <c r="G99" s="1">
        <v>7</v>
      </c>
      <c r="I99" t="str">
        <f t="shared" ref="I99:I116" si="2">LEFT(G129,K99)</f>
        <v/>
      </c>
      <c r="J99" t="str">
        <f t="shared" ref="J99:J117" si="3">RIGHT(G129,L99-K99)</f>
        <v/>
      </c>
    </row>
    <row r="100" spans="2:10" x14ac:dyDescent="0.35">
      <c r="B100" s="1" t="s">
        <v>133</v>
      </c>
      <c r="C100" s="1" t="s">
        <v>99</v>
      </c>
      <c r="D100" s="1">
        <v>5</v>
      </c>
      <c r="E100" s="1">
        <v>2</v>
      </c>
      <c r="F100" s="1">
        <v>6</v>
      </c>
      <c r="G100" s="1">
        <v>8</v>
      </c>
      <c r="I100" t="str">
        <f t="shared" si="2"/>
        <v/>
      </c>
      <c r="J100" t="str">
        <f t="shared" si="3"/>
        <v/>
      </c>
    </row>
    <row r="101" spans="2:10" x14ac:dyDescent="0.35">
      <c r="B101" s="1" t="s">
        <v>188</v>
      </c>
      <c r="C101" s="1" t="s">
        <v>99</v>
      </c>
      <c r="D101" s="1">
        <v>7</v>
      </c>
      <c r="E101" s="1">
        <v>5</v>
      </c>
      <c r="F101" s="1">
        <v>4</v>
      </c>
      <c r="G101" s="1">
        <v>9</v>
      </c>
      <c r="I101" t="str">
        <f t="shared" si="2"/>
        <v/>
      </c>
      <c r="J101" t="str">
        <f t="shared" si="3"/>
        <v/>
      </c>
    </row>
    <row r="102" spans="2:10" x14ac:dyDescent="0.35">
      <c r="B102" s="1" t="s">
        <v>189</v>
      </c>
      <c r="C102" s="1" t="s">
        <v>99</v>
      </c>
      <c r="D102" s="1">
        <v>5</v>
      </c>
      <c r="E102" s="1">
        <v>5</v>
      </c>
      <c r="F102" s="1">
        <v>4</v>
      </c>
      <c r="G102" s="1">
        <v>3</v>
      </c>
      <c r="I102" t="str">
        <f t="shared" si="2"/>
        <v/>
      </c>
      <c r="J102" t="str">
        <f t="shared" si="3"/>
        <v/>
      </c>
    </row>
    <row r="103" spans="2:10" x14ac:dyDescent="0.35">
      <c r="B103" s="1" t="s">
        <v>190</v>
      </c>
      <c r="C103" s="1" t="s">
        <v>94</v>
      </c>
      <c r="D103" s="1">
        <v>8</v>
      </c>
      <c r="E103" s="1">
        <v>1</v>
      </c>
      <c r="F103" s="1">
        <v>6</v>
      </c>
      <c r="G103" s="1">
        <v>4</v>
      </c>
      <c r="I103" t="str">
        <f t="shared" si="2"/>
        <v/>
      </c>
      <c r="J103" t="str">
        <f t="shared" si="3"/>
        <v/>
      </c>
    </row>
    <row r="104" spans="2:10" x14ac:dyDescent="0.35">
      <c r="B104" s="1" t="s">
        <v>191</v>
      </c>
      <c r="C104" s="1" t="s">
        <v>99</v>
      </c>
      <c r="D104" s="1">
        <v>9</v>
      </c>
      <c r="E104" s="1">
        <v>5</v>
      </c>
      <c r="F104" s="1">
        <v>2</v>
      </c>
      <c r="G104" s="1">
        <v>7</v>
      </c>
      <c r="I104" t="str">
        <f t="shared" si="2"/>
        <v/>
      </c>
      <c r="J104" t="str">
        <f t="shared" si="3"/>
        <v/>
      </c>
    </row>
    <row r="105" spans="2:10" x14ac:dyDescent="0.35">
      <c r="B105" s="1" t="s">
        <v>192</v>
      </c>
      <c r="C105" s="1" t="s">
        <v>99</v>
      </c>
      <c r="D105" s="1">
        <v>4</v>
      </c>
      <c r="E105" s="1">
        <v>9</v>
      </c>
      <c r="F105" s="1">
        <v>3</v>
      </c>
      <c r="G105" s="1">
        <v>2</v>
      </c>
      <c r="I105" t="str">
        <f t="shared" si="2"/>
        <v/>
      </c>
      <c r="J105" t="str">
        <f t="shared" si="3"/>
        <v/>
      </c>
    </row>
    <row r="106" spans="2:10" x14ac:dyDescent="0.35">
      <c r="B106" s="1" t="s">
        <v>193</v>
      </c>
      <c r="C106" s="1" t="s">
        <v>99</v>
      </c>
      <c r="D106" s="1">
        <v>2</v>
      </c>
      <c r="E106" s="1">
        <v>6</v>
      </c>
      <c r="F106" s="1">
        <v>8</v>
      </c>
      <c r="G106" s="1">
        <v>7</v>
      </c>
      <c r="I106" t="str">
        <f t="shared" si="2"/>
        <v/>
      </c>
      <c r="J106" t="str">
        <f t="shared" si="3"/>
        <v/>
      </c>
    </row>
    <row r="107" spans="2:10" x14ac:dyDescent="0.35">
      <c r="B107" s="1" t="s">
        <v>194</v>
      </c>
      <c r="C107" s="1" t="s">
        <v>94</v>
      </c>
      <c r="D107" s="1">
        <v>7</v>
      </c>
      <c r="E107" s="1">
        <v>0</v>
      </c>
      <c r="F107" s="1">
        <v>7</v>
      </c>
      <c r="G107" s="1">
        <v>3</v>
      </c>
      <c r="I107" t="str">
        <f t="shared" si="2"/>
        <v/>
      </c>
      <c r="J107" t="str">
        <f t="shared" si="3"/>
        <v/>
      </c>
    </row>
    <row r="108" spans="2:10" x14ac:dyDescent="0.35">
      <c r="B108" s="1" t="s">
        <v>195</v>
      </c>
      <c r="C108" s="1" t="s">
        <v>94</v>
      </c>
      <c r="D108" s="1">
        <v>2</v>
      </c>
      <c r="E108" s="1">
        <v>5</v>
      </c>
      <c r="F108" s="1">
        <v>7</v>
      </c>
      <c r="G108" s="1">
        <v>4</v>
      </c>
      <c r="I108" t="str">
        <f t="shared" si="2"/>
        <v/>
      </c>
      <c r="J108" t="str">
        <f t="shared" si="3"/>
        <v/>
      </c>
    </row>
    <row r="109" spans="2:10" x14ac:dyDescent="0.35">
      <c r="B109" s="1" t="s">
        <v>196</v>
      </c>
      <c r="C109" s="1" t="s">
        <v>99</v>
      </c>
      <c r="D109" s="1">
        <v>7</v>
      </c>
      <c r="E109" s="1">
        <v>6</v>
      </c>
      <c r="F109" s="1">
        <v>8</v>
      </c>
      <c r="G109" s="1">
        <v>5</v>
      </c>
      <c r="I109" t="str">
        <f t="shared" si="2"/>
        <v/>
      </c>
      <c r="J109" t="str">
        <f t="shared" si="3"/>
        <v/>
      </c>
    </row>
    <row r="110" spans="2:10" x14ac:dyDescent="0.35">
      <c r="B110" s="1" t="s">
        <v>197</v>
      </c>
      <c r="C110" s="1" t="s">
        <v>99</v>
      </c>
      <c r="D110" s="1">
        <v>9</v>
      </c>
      <c r="E110" s="1">
        <v>2</v>
      </c>
      <c r="F110" s="1">
        <v>3</v>
      </c>
      <c r="G110" s="1">
        <v>7</v>
      </c>
      <c r="I110" t="str">
        <f t="shared" si="2"/>
        <v/>
      </c>
      <c r="J110" t="str">
        <f t="shared" si="3"/>
        <v/>
      </c>
    </row>
    <row r="111" spans="2:10" x14ac:dyDescent="0.35">
      <c r="B111" s="1" t="s">
        <v>198</v>
      </c>
      <c r="C111" s="1" t="s">
        <v>99</v>
      </c>
      <c r="D111" s="1">
        <v>1</v>
      </c>
      <c r="E111" s="1">
        <v>5</v>
      </c>
      <c r="F111" s="1">
        <v>2</v>
      </c>
      <c r="G111" s="1">
        <v>8</v>
      </c>
      <c r="I111" t="str">
        <f t="shared" si="2"/>
        <v/>
      </c>
      <c r="J111" t="str">
        <f t="shared" si="3"/>
        <v/>
      </c>
    </row>
    <row r="112" spans="2:10" x14ac:dyDescent="0.35">
      <c r="B112" s="1" t="s">
        <v>199</v>
      </c>
      <c r="C112" s="1" t="s">
        <v>108</v>
      </c>
      <c r="D112" s="1">
        <v>9</v>
      </c>
      <c r="E112" s="1">
        <v>3</v>
      </c>
      <c r="F112" s="1">
        <v>3</v>
      </c>
      <c r="G112" s="1">
        <v>9</v>
      </c>
      <c r="I112" t="str">
        <f t="shared" si="2"/>
        <v/>
      </c>
      <c r="J112" t="str">
        <f t="shared" si="3"/>
        <v/>
      </c>
    </row>
    <row r="113" spans="2:10" x14ac:dyDescent="0.35">
      <c r="B113" s="1" t="s">
        <v>200</v>
      </c>
      <c r="C113" s="1" t="s">
        <v>99</v>
      </c>
      <c r="D113" s="1">
        <v>7</v>
      </c>
      <c r="E113" s="1">
        <v>5</v>
      </c>
      <c r="F113" s="1">
        <v>6</v>
      </c>
      <c r="G113" s="1">
        <v>3</v>
      </c>
      <c r="I113" t="str">
        <f t="shared" si="2"/>
        <v/>
      </c>
      <c r="J113" t="str">
        <f t="shared" si="3"/>
        <v/>
      </c>
    </row>
    <row r="114" spans="2:10" x14ac:dyDescent="0.35">
      <c r="B114" s="1" t="s">
        <v>201</v>
      </c>
      <c r="C114" s="1" t="s">
        <v>99</v>
      </c>
      <c r="D114" s="1">
        <v>6</v>
      </c>
      <c r="E114" s="1">
        <v>8</v>
      </c>
      <c r="F114" s="1">
        <v>5</v>
      </c>
      <c r="G114" s="1">
        <v>4</v>
      </c>
      <c r="I114" t="str">
        <f t="shared" si="2"/>
        <v/>
      </c>
      <c r="J114" t="str">
        <f t="shared" si="3"/>
        <v/>
      </c>
    </row>
    <row r="115" spans="2:10" x14ac:dyDescent="0.35">
      <c r="B115" s="1" t="s">
        <v>202</v>
      </c>
      <c r="C115" s="1" t="s">
        <v>99</v>
      </c>
      <c r="D115" s="1">
        <v>4</v>
      </c>
      <c r="E115" s="1">
        <v>7</v>
      </c>
      <c r="F115" s="1">
        <v>8</v>
      </c>
      <c r="G115" s="1">
        <v>3</v>
      </c>
      <c r="I115" t="str">
        <f t="shared" si="2"/>
        <v/>
      </c>
      <c r="J115" t="str">
        <f t="shared" si="3"/>
        <v/>
      </c>
    </row>
    <row r="116" spans="2:10" x14ac:dyDescent="0.35">
      <c r="B116" s="1" t="s">
        <v>203</v>
      </c>
      <c r="C116" s="1" t="s">
        <v>96</v>
      </c>
      <c r="D116" s="1">
        <v>3</v>
      </c>
      <c r="E116" s="1">
        <v>9</v>
      </c>
      <c r="F116" s="1">
        <v>9</v>
      </c>
      <c r="G116" s="1">
        <v>7</v>
      </c>
      <c r="I116" t="str">
        <f t="shared" si="2"/>
        <v/>
      </c>
      <c r="J116" t="str">
        <f t="shared" si="3"/>
        <v/>
      </c>
    </row>
    <row r="117" spans="2:10" x14ac:dyDescent="0.35">
      <c r="B117" s="1" t="s">
        <v>204</v>
      </c>
      <c r="C117" s="1" t="s">
        <v>99</v>
      </c>
      <c r="D117" s="1">
        <v>2</v>
      </c>
      <c r="E117" s="1">
        <v>8</v>
      </c>
      <c r="F117" s="1">
        <v>4</v>
      </c>
      <c r="G117" s="1">
        <v>8</v>
      </c>
      <c r="J117" t="str">
        <f t="shared" si="3"/>
        <v/>
      </c>
    </row>
    <row r="118" spans="2:10" x14ac:dyDescent="0.35">
      <c r="B118" s="1" t="s">
        <v>205</v>
      </c>
      <c r="C118" s="1" t="s">
        <v>99</v>
      </c>
      <c r="D118" s="1">
        <v>6</v>
      </c>
      <c r="E118" s="1">
        <v>3</v>
      </c>
      <c r="F118" s="1">
        <v>4</v>
      </c>
      <c r="G118" s="1">
        <v>2</v>
      </c>
    </row>
    <row r="119" spans="2:10" x14ac:dyDescent="0.35">
      <c r="B119" s="1" t="s">
        <v>206</v>
      </c>
      <c r="C119" s="1" t="s">
        <v>99</v>
      </c>
      <c r="D119" s="1">
        <v>5</v>
      </c>
      <c r="E119" s="1">
        <v>2</v>
      </c>
      <c r="F119" s="1">
        <v>5</v>
      </c>
      <c r="G119" s="1">
        <v>5</v>
      </c>
    </row>
    <row r="120" spans="2:10" x14ac:dyDescent="0.35">
      <c r="B120" s="1" t="s">
        <v>207</v>
      </c>
      <c r="C120" s="1" t="s">
        <v>94</v>
      </c>
      <c r="D120" s="1">
        <v>7</v>
      </c>
      <c r="E120" s="1">
        <v>6</v>
      </c>
      <c r="F120" s="1">
        <v>0</v>
      </c>
      <c r="G120" s="1">
        <v>9</v>
      </c>
    </row>
    <row r="121" spans="2:10" x14ac:dyDescent="0.35">
      <c r="B121" s="1" t="s">
        <v>208</v>
      </c>
      <c r="C121" s="1" t="s">
        <v>99</v>
      </c>
      <c r="D121" s="1">
        <v>6</v>
      </c>
      <c r="E121" s="1">
        <v>7</v>
      </c>
      <c r="F121" s="1">
        <v>7</v>
      </c>
      <c r="G121" s="1">
        <v>4</v>
      </c>
    </row>
    <row r="122" spans="2:10" x14ac:dyDescent="0.35">
      <c r="B122" s="1" t="s">
        <v>209</v>
      </c>
      <c r="C122" s="1" t="s">
        <v>99</v>
      </c>
      <c r="D122" s="1">
        <v>4</v>
      </c>
      <c r="E122" s="1">
        <v>9</v>
      </c>
      <c r="F122" s="1">
        <v>5</v>
      </c>
      <c r="G122" s="1">
        <v>2</v>
      </c>
    </row>
    <row r="123" spans="2:10" x14ac:dyDescent="0.35">
      <c r="B123" s="1" t="s">
        <v>210</v>
      </c>
      <c r="C123" s="1" t="s">
        <v>99</v>
      </c>
      <c r="D123" s="1">
        <v>1</v>
      </c>
      <c r="E123" s="1">
        <v>4</v>
      </c>
      <c r="F123" s="1">
        <v>2</v>
      </c>
      <c r="G123" s="1">
        <v>7</v>
      </c>
    </row>
    <row r="124" spans="2:10" x14ac:dyDescent="0.35">
      <c r="B124" s="1" t="s">
        <v>211</v>
      </c>
      <c r="C124" s="1" t="s">
        <v>108</v>
      </c>
      <c r="D124" s="1">
        <v>7</v>
      </c>
      <c r="E124" s="1">
        <v>4</v>
      </c>
      <c r="F124" s="1">
        <v>4</v>
      </c>
      <c r="G124" s="1">
        <v>4</v>
      </c>
    </row>
    <row r="125" spans="2:10" x14ac:dyDescent="0.35">
      <c r="B125" s="1" t="s">
        <v>212</v>
      </c>
      <c r="C125" s="1" t="s">
        <v>108</v>
      </c>
      <c r="D125" s="1">
        <v>5</v>
      </c>
      <c r="E125" s="1">
        <v>7</v>
      </c>
      <c r="F125" s="1">
        <v>6</v>
      </c>
      <c r="G125" s="1">
        <v>7</v>
      </c>
    </row>
    <row r="126" spans="2:10" x14ac:dyDescent="0.35">
      <c r="B126" s="1" t="s">
        <v>213</v>
      </c>
      <c r="C126" s="1" t="s">
        <v>99</v>
      </c>
      <c r="D126" s="1">
        <v>1</v>
      </c>
      <c r="E126" s="1">
        <v>3</v>
      </c>
      <c r="F126" s="1">
        <v>7</v>
      </c>
      <c r="G126" s="1">
        <v>8</v>
      </c>
    </row>
    <row r="127" spans="2:10" x14ac:dyDescent="0.35">
      <c r="B127" s="1" t="s">
        <v>214</v>
      </c>
      <c r="C127" s="1" t="s">
        <v>96</v>
      </c>
      <c r="D127" s="1">
        <v>3</v>
      </c>
      <c r="E127" s="1">
        <v>7</v>
      </c>
      <c r="F127" s="1">
        <v>4</v>
      </c>
      <c r="G127" s="1">
        <v>9</v>
      </c>
    </row>
    <row r="128" spans="2:10" x14ac:dyDescent="0.35">
      <c r="B128" s="1" t="s">
        <v>215</v>
      </c>
      <c r="C128" s="1" t="s">
        <v>99</v>
      </c>
      <c r="D128" s="1">
        <v>6</v>
      </c>
      <c r="E128" s="1">
        <v>5</v>
      </c>
      <c r="F128" s="1">
        <v>2</v>
      </c>
      <c r="G128" s="1">
        <v>6</v>
      </c>
    </row>
    <row r="129" spans="2:7" x14ac:dyDescent="0.35">
      <c r="B129" s="1" t="s">
        <v>216</v>
      </c>
      <c r="C129" s="1" t="s">
        <v>99</v>
      </c>
      <c r="D129" s="1">
        <v>4</v>
      </c>
      <c r="E129" s="1">
        <v>7</v>
      </c>
      <c r="F129" s="1">
        <v>6</v>
      </c>
      <c r="G129" s="1">
        <v>4</v>
      </c>
    </row>
    <row r="130" spans="2:7" x14ac:dyDescent="0.35">
      <c r="B130" s="1" t="s">
        <v>217</v>
      </c>
      <c r="C130" s="1" t="s">
        <v>99</v>
      </c>
      <c r="D130" s="1">
        <v>6</v>
      </c>
      <c r="E130" s="1">
        <v>2</v>
      </c>
      <c r="F130" s="1">
        <v>7</v>
      </c>
      <c r="G130" s="1">
        <v>0</v>
      </c>
    </row>
    <row r="131" spans="2:7" x14ac:dyDescent="0.35">
      <c r="B131" s="1" t="s">
        <v>218</v>
      </c>
      <c r="C131" s="1" t="s">
        <v>96</v>
      </c>
      <c r="D131" s="1">
        <v>9</v>
      </c>
      <c r="E131" s="1">
        <v>0</v>
      </c>
      <c r="F131" s="1">
        <v>8</v>
      </c>
      <c r="G131" s="1">
        <v>4</v>
      </c>
    </row>
    <row r="132" spans="2:7" x14ac:dyDescent="0.35">
      <c r="B132" s="1" t="s">
        <v>219</v>
      </c>
      <c r="C132" s="1" t="s">
        <v>99</v>
      </c>
      <c r="D132" s="1">
        <v>7</v>
      </c>
      <c r="E132" s="1">
        <v>6</v>
      </c>
      <c r="F132" s="1">
        <v>2</v>
      </c>
      <c r="G132" s="1">
        <v>5</v>
      </c>
    </row>
    <row r="133" spans="2:7" x14ac:dyDescent="0.35">
      <c r="B133" s="1" t="s">
        <v>220</v>
      </c>
      <c r="C133" s="1" t="s">
        <v>99</v>
      </c>
      <c r="D133" s="1">
        <v>10</v>
      </c>
      <c r="E133" s="1">
        <v>0</v>
      </c>
      <c r="F133" s="1">
        <v>8</v>
      </c>
      <c r="G133" s="1">
        <v>8</v>
      </c>
    </row>
    <row r="134" spans="2:7" x14ac:dyDescent="0.35">
      <c r="B134" s="1" t="s">
        <v>221</v>
      </c>
      <c r="C134" s="1" t="s">
        <v>99</v>
      </c>
      <c r="D134" s="1">
        <v>6</v>
      </c>
      <c r="E134" s="1">
        <v>4</v>
      </c>
      <c r="F134" s="1">
        <v>9</v>
      </c>
      <c r="G134" s="1">
        <v>2</v>
      </c>
    </row>
    <row r="135" spans="2:7" x14ac:dyDescent="0.35">
      <c r="B135" s="1" t="s">
        <v>222</v>
      </c>
      <c r="C135" s="1" t="s">
        <v>108</v>
      </c>
      <c r="D135" s="1">
        <v>6</v>
      </c>
      <c r="E135" s="1">
        <v>7</v>
      </c>
      <c r="F135" s="1">
        <v>9</v>
      </c>
      <c r="G135" s="1">
        <v>3</v>
      </c>
    </row>
    <row r="136" spans="2:7" x14ac:dyDescent="0.35">
      <c r="B136" s="1" t="s">
        <v>223</v>
      </c>
      <c r="C136" s="1" t="s">
        <v>108</v>
      </c>
      <c r="D136" s="1">
        <v>11</v>
      </c>
      <c r="E136" s="1">
        <v>8</v>
      </c>
      <c r="F136" s="1">
        <v>6</v>
      </c>
      <c r="G136" s="1">
        <v>8</v>
      </c>
    </row>
    <row r="137" spans="2:7" x14ac:dyDescent="0.35">
      <c r="B137" s="1" t="s">
        <v>224</v>
      </c>
      <c r="C137" s="1" t="s">
        <v>99</v>
      </c>
      <c r="D137" s="1">
        <v>9</v>
      </c>
      <c r="E137" s="1">
        <v>5</v>
      </c>
      <c r="F137" s="1">
        <v>2</v>
      </c>
      <c r="G137" s="1">
        <v>6</v>
      </c>
    </row>
    <row r="138" spans="2:7" x14ac:dyDescent="0.35">
      <c r="B138" s="1" t="s">
        <v>225</v>
      </c>
      <c r="C138" s="1" t="s">
        <v>96</v>
      </c>
      <c r="D138" s="1">
        <v>5</v>
      </c>
      <c r="E138" s="1">
        <v>5</v>
      </c>
      <c r="F138" s="1">
        <v>3</v>
      </c>
      <c r="G138" s="1">
        <v>9</v>
      </c>
    </row>
    <row r="139" spans="2:7" x14ac:dyDescent="0.35">
      <c r="B139" s="1" t="s">
        <v>226</v>
      </c>
      <c r="C139" s="1" t="s">
        <v>99</v>
      </c>
      <c r="D139" s="1">
        <v>5</v>
      </c>
      <c r="E139" s="1">
        <v>4</v>
      </c>
      <c r="F139" s="1">
        <v>6</v>
      </c>
      <c r="G139" s="1">
        <v>3</v>
      </c>
    </row>
    <row r="140" spans="2:7" x14ac:dyDescent="0.35">
      <c r="B140" s="1" t="s">
        <v>227</v>
      </c>
      <c r="C140" s="1" t="s">
        <v>99</v>
      </c>
      <c r="D140" s="1">
        <v>9</v>
      </c>
      <c r="E140" s="1">
        <v>2</v>
      </c>
      <c r="F140" s="1">
        <v>8</v>
      </c>
      <c r="G140" s="1">
        <v>3</v>
      </c>
    </row>
    <row r="141" spans="2:7" x14ac:dyDescent="0.35">
      <c r="B141" s="1" t="s">
        <v>228</v>
      </c>
      <c r="C141" s="1" t="s">
        <v>99</v>
      </c>
      <c r="D141" s="1">
        <v>1</v>
      </c>
      <c r="E141" s="1">
        <v>7</v>
      </c>
      <c r="F141" s="1">
        <v>7</v>
      </c>
      <c r="G141" s="1">
        <v>5</v>
      </c>
    </row>
    <row r="142" spans="2:7" x14ac:dyDescent="0.35">
      <c r="B142" s="1" t="s">
        <v>229</v>
      </c>
      <c r="C142" s="1" t="s">
        <v>96</v>
      </c>
      <c r="D142" s="1">
        <v>4</v>
      </c>
      <c r="E142" s="1">
        <v>4</v>
      </c>
      <c r="F142" s="1">
        <v>5</v>
      </c>
      <c r="G142" s="1">
        <v>8</v>
      </c>
    </row>
    <row r="143" spans="2:7" x14ac:dyDescent="0.35">
      <c r="B143" s="1" t="s">
        <v>230</v>
      </c>
      <c r="C143" s="1" t="s">
        <v>99</v>
      </c>
      <c r="D143" s="1">
        <v>4</v>
      </c>
      <c r="E143" s="1">
        <v>7</v>
      </c>
      <c r="F143" s="1">
        <v>5</v>
      </c>
      <c r="G143" s="1">
        <v>6</v>
      </c>
    </row>
    <row r="144" spans="2:7" x14ac:dyDescent="0.35">
      <c r="B144" s="1" t="s">
        <v>231</v>
      </c>
      <c r="C144" s="1" t="s">
        <v>99</v>
      </c>
      <c r="D144" s="1">
        <v>3</v>
      </c>
      <c r="E144" s="1">
        <v>5</v>
      </c>
      <c r="F144" s="1">
        <v>1</v>
      </c>
      <c r="G144" s="1">
        <v>4</v>
      </c>
    </row>
    <row r="145" spans="2:7" x14ac:dyDescent="0.35">
      <c r="B145" s="1" t="s">
        <v>232</v>
      </c>
      <c r="C145" s="1" t="s">
        <v>99</v>
      </c>
      <c r="D145" s="1">
        <v>6</v>
      </c>
      <c r="E145" s="1">
        <v>9</v>
      </c>
      <c r="F145" s="1">
        <v>7</v>
      </c>
      <c r="G145" s="1">
        <v>4</v>
      </c>
    </row>
    <row r="146" spans="2:7" x14ac:dyDescent="0.35">
      <c r="B146" s="1" t="s">
        <v>233</v>
      </c>
      <c r="C146" s="1" t="s">
        <v>108</v>
      </c>
      <c r="D146" s="1">
        <v>3</v>
      </c>
      <c r="E146" s="1">
        <v>0</v>
      </c>
      <c r="F146" s="1">
        <v>3</v>
      </c>
      <c r="G146" s="1">
        <v>5</v>
      </c>
    </row>
    <row r="147" spans="2:7" x14ac:dyDescent="0.35">
      <c r="B147" s="1" t="s">
        <v>234</v>
      </c>
      <c r="C147" s="1" t="s">
        <v>108</v>
      </c>
      <c r="D147" s="1">
        <v>7</v>
      </c>
      <c r="E147" s="1">
        <v>6</v>
      </c>
      <c r="F147" s="1">
        <v>5</v>
      </c>
      <c r="G147" s="1">
        <v>7</v>
      </c>
    </row>
    <row r="148" spans="2:7" x14ac:dyDescent="0.35">
      <c r="B148" s="1" t="s">
        <v>235</v>
      </c>
      <c r="C148" s="1" t="s">
        <v>99</v>
      </c>
      <c r="D148" s="1">
        <v>3</v>
      </c>
      <c r="E148" s="1">
        <v>4</v>
      </c>
      <c r="F148" s="1">
        <v>3</v>
      </c>
      <c r="G148" s="1">
        <v>0</v>
      </c>
    </row>
    <row r="149" spans="2:7" x14ac:dyDescent="0.35">
      <c r="B149" s="1" t="s">
        <v>236</v>
      </c>
      <c r="C149" s="1" t="s">
        <v>96</v>
      </c>
      <c r="D149" s="1">
        <v>1</v>
      </c>
      <c r="E149" s="1">
        <v>6</v>
      </c>
      <c r="F149" s="1">
        <v>1</v>
      </c>
      <c r="G149" s="1">
        <v>0</v>
      </c>
    </row>
    <row r="150" spans="2:7" x14ac:dyDescent="0.35">
      <c r="B150" s="1" t="s">
        <v>237</v>
      </c>
      <c r="C150" s="1" t="s">
        <v>99</v>
      </c>
      <c r="D150" s="1">
        <v>4</v>
      </c>
      <c r="E150" s="1">
        <v>5</v>
      </c>
      <c r="F150" s="1">
        <v>7</v>
      </c>
      <c r="G150" s="1">
        <v>6</v>
      </c>
    </row>
    <row r="151" spans="2:7" x14ac:dyDescent="0.35">
      <c r="B151" s="1" t="s">
        <v>238</v>
      </c>
      <c r="C151" s="1" t="s">
        <v>94</v>
      </c>
      <c r="D151" s="1">
        <v>2</v>
      </c>
      <c r="E151" s="1">
        <v>6</v>
      </c>
      <c r="F151" s="1">
        <v>6</v>
      </c>
      <c r="G151" s="1">
        <v>5</v>
      </c>
    </row>
    <row r="152" spans="2:7" x14ac:dyDescent="0.35">
      <c r="B152" s="1" t="s">
        <v>239</v>
      </c>
      <c r="C152" s="1" t="s">
        <v>99</v>
      </c>
      <c r="D152" s="1">
        <v>5</v>
      </c>
      <c r="E152" s="1">
        <v>2</v>
      </c>
      <c r="F152" s="1">
        <v>6</v>
      </c>
      <c r="G152" s="1">
        <v>2</v>
      </c>
    </row>
    <row r="153" spans="2:7" x14ac:dyDescent="0.35">
      <c r="B153" s="1" t="s">
        <v>240</v>
      </c>
      <c r="C153" s="1" t="s">
        <v>96</v>
      </c>
      <c r="D153" s="1">
        <v>4</v>
      </c>
      <c r="E153" s="1">
        <v>3</v>
      </c>
      <c r="F153" s="1">
        <v>7</v>
      </c>
      <c r="G153" s="1">
        <v>6</v>
      </c>
    </row>
    <row r="154" spans="2:7" x14ac:dyDescent="0.35">
      <c r="B154" s="1" t="s">
        <v>241</v>
      </c>
      <c r="C154" s="1" t="s">
        <v>99</v>
      </c>
      <c r="D154" s="1">
        <v>2</v>
      </c>
      <c r="E154" s="1">
        <v>5</v>
      </c>
      <c r="F154" s="1">
        <v>5</v>
      </c>
      <c r="G154" s="1">
        <v>4</v>
      </c>
    </row>
    <row r="155" spans="2:7" x14ac:dyDescent="0.35">
      <c r="B155" s="1" t="s">
        <v>242</v>
      </c>
      <c r="C155" s="1" t="s">
        <v>99</v>
      </c>
      <c r="D155" s="1">
        <v>5</v>
      </c>
      <c r="E155" s="1">
        <v>6</v>
      </c>
      <c r="F155" s="1">
        <v>6</v>
      </c>
      <c r="G155" s="1">
        <v>4</v>
      </c>
    </row>
    <row r="156" spans="2:7" x14ac:dyDescent="0.35">
      <c r="B156" s="1" t="s">
        <v>243</v>
      </c>
      <c r="C156" s="1" t="s">
        <v>99</v>
      </c>
      <c r="D156" s="1">
        <v>6</v>
      </c>
      <c r="E156" s="1">
        <v>9</v>
      </c>
      <c r="F156" s="1">
        <v>6</v>
      </c>
      <c r="G156" s="1">
        <v>7</v>
      </c>
    </row>
    <row r="157" spans="2:7" x14ac:dyDescent="0.35">
      <c r="B157" s="1" t="s">
        <v>244</v>
      </c>
      <c r="C157" s="1" t="s">
        <v>99</v>
      </c>
      <c r="D157" s="1">
        <v>4</v>
      </c>
      <c r="E157" s="1">
        <v>8</v>
      </c>
      <c r="F157" s="1">
        <v>11</v>
      </c>
      <c r="G157" s="1">
        <v>8</v>
      </c>
    </row>
    <row r="158" spans="2:7" x14ac:dyDescent="0.35">
      <c r="B158" s="1" t="s">
        <v>245</v>
      </c>
      <c r="C158" s="1" t="s">
        <v>108</v>
      </c>
      <c r="D158" s="1">
        <v>2</v>
      </c>
      <c r="E158" s="1">
        <v>3</v>
      </c>
      <c r="F158" s="1">
        <v>4</v>
      </c>
      <c r="G158" s="1">
        <v>2</v>
      </c>
    </row>
    <row r="159" spans="2:7" x14ac:dyDescent="0.35">
      <c r="B159" s="1" t="s">
        <v>246</v>
      </c>
      <c r="C159" s="1" t="s">
        <v>108</v>
      </c>
      <c r="D159" s="1">
        <v>5</v>
      </c>
      <c r="E159" s="1">
        <v>3</v>
      </c>
      <c r="F159" s="1">
        <v>7</v>
      </c>
      <c r="G159" s="1">
        <v>8</v>
      </c>
    </row>
    <row r="160" spans="2:7" x14ac:dyDescent="0.35">
      <c r="B160" s="1" t="s">
        <v>247</v>
      </c>
      <c r="C160" s="1" t="s">
        <v>99</v>
      </c>
      <c r="D160" s="1">
        <v>0</v>
      </c>
      <c r="E160" s="1">
        <v>5</v>
      </c>
      <c r="F160" s="1">
        <v>8</v>
      </c>
      <c r="G160" s="1">
        <v>5</v>
      </c>
    </row>
    <row r="161" spans="2:10" x14ac:dyDescent="0.35">
      <c r="B161" s="29" t="s">
        <v>248</v>
      </c>
      <c r="C161" s="1" t="s">
        <v>99</v>
      </c>
      <c r="D161" s="1">
        <v>7</v>
      </c>
      <c r="E161" s="1">
        <v>8</v>
      </c>
      <c r="F161" s="1">
        <v>4</v>
      </c>
      <c r="G161" s="1">
        <v>9</v>
      </c>
    </row>
    <row r="162" spans="2:10" x14ac:dyDescent="0.35">
      <c r="B162" s="29" t="s">
        <v>249</v>
      </c>
      <c r="C162" s="1" t="s">
        <v>96</v>
      </c>
      <c r="D162" s="1">
        <v>5</v>
      </c>
      <c r="E162" s="1">
        <v>2</v>
      </c>
      <c r="F162" s="1">
        <v>3</v>
      </c>
      <c r="G162" s="1">
        <v>2</v>
      </c>
    </row>
    <row r="163" spans="2:10" x14ac:dyDescent="0.35">
      <c r="B163" s="1" t="s">
        <v>250</v>
      </c>
      <c r="C163" s="1" t="s">
        <v>96</v>
      </c>
      <c r="D163" s="1">
        <v>7</v>
      </c>
      <c r="E163" s="1">
        <v>4</v>
      </c>
      <c r="F163" s="1">
        <v>4</v>
      </c>
      <c r="G163" s="1">
        <v>4</v>
      </c>
    </row>
    <row r="164" spans="2:10" x14ac:dyDescent="0.35">
      <c r="B164" s="1" t="s">
        <v>251</v>
      </c>
      <c r="C164" s="1" t="s">
        <v>252</v>
      </c>
      <c r="D164" s="1">
        <v>7</v>
      </c>
      <c r="E164" s="1">
        <v>8</v>
      </c>
      <c r="F164" s="1">
        <v>5</v>
      </c>
      <c r="G164" s="1">
        <v>6</v>
      </c>
      <c r="I164" t="str">
        <f>LEFT(G194,K164)</f>
        <v/>
      </c>
      <c r="J164" t="str">
        <f>RIGHT(G194,L164-K164)</f>
        <v/>
      </c>
    </row>
    <row r="165" spans="2:10" x14ac:dyDescent="0.35">
      <c r="B165" s="1" t="s">
        <v>253</v>
      </c>
      <c r="C165" s="1" t="s">
        <v>96</v>
      </c>
      <c r="D165" s="1">
        <v>5</v>
      </c>
      <c r="E165" s="1">
        <v>6</v>
      </c>
      <c r="F165" s="1">
        <v>7</v>
      </c>
      <c r="G165" s="1">
        <v>5</v>
      </c>
    </row>
    <row r="166" spans="2:10" x14ac:dyDescent="0.35">
      <c r="B166" s="1" t="s">
        <v>186</v>
      </c>
      <c r="C166" s="1" t="s">
        <v>96</v>
      </c>
      <c r="D166" s="1">
        <v>6</v>
      </c>
      <c r="E166" s="1">
        <v>3</v>
      </c>
      <c r="F166" s="1">
        <v>5</v>
      </c>
      <c r="G166" s="1">
        <v>2</v>
      </c>
    </row>
    <row r="167" spans="2:10" x14ac:dyDescent="0.35">
      <c r="B167" s="1" t="s">
        <v>254</v>
      </c>
      <c r="C167" s="1" t="s">
        <v>96</v>
      </c>
      <c r="D167" s="1">
        <v>5</v>
      </c>
      <c r="E167" s="1">
        <v>4</v>
      </c>
      <c r="F167" s="1">
        <v>14</v>
      </c>
      <c r="G167" s="1">
        <v>5</v>
      </c>
    </row>
  </sheetData>
  <mergeCells count="1">
    <mergeCell ref="B4:K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BBD06-8932-4184-A53A-155B7D14CBD3}">
  <sheetPr>
    <tabColor rgb="FFFFFF00"/>
    <pageSetUpPr autoPageBreaks="0"/>
  </sheetPr>
  <dimension ref="C2:R63"/>
  <sheetViews>
    <sheetView topLeftCell="B1" zoomScale="66" zoomScaleNormal="66" workbookViewId="0">
      <selection activeCell="C53" sqref="C53:D63"/>
    </sheetView>
  </sheetViews>
  <sheetFormatPr defaultRowHeight="14.5" x14ac:dyDescent="0.35"/>
  <cols>
    <col min="1" max="1" width="0" hidden="1" customWidth="1"/>
    <col min="3" max="3" width="11.81640625" customWidth="1"/>
    <col min="4" max="4" width="11.26953125" customWidth="1"/>
    <col min="5" max="6" width="10.1796875" customWidth="1"/>
    <col min="7" max="7" width="11.453125" customWidth="1"/>
    <col min="8" max="8" width="15.453125" customWidth="1"/>
    <col min="9" max="11" width="10.1796875" customWidth="1"/>
    <col min="12" max="12" width="11.81640625" customWidth="1"/>
    <col min="13" max="13" width="11.1796875" customWidth="1"/>
    <col min="14" max="15" width="11.453125" customWidth="1"/>
    <col min="16" max="16" width="11.1796875" customWidth="1"/>
    <col min="17" max="17" width="16.54296875" customWidth="1"/>
    <col min="18" max="18" width="16.453125" customWidth="1"/>
    <col min="19" max="19" width="15.26953125" bestFit="1" customWidth="1"/>
  </cols>
  <sheetData>
    <row r="2" spans="3:18" hidden="1" x14ac:dyDescent="0.35"/>
    <row r="3" spans="3:18" hidden="1" x14ac:dyDescent="0.35"/>
    <row r="5" spans="3:18" ht="33.5" x14ac:dyDescent="0.75">
      <c r="C5" s="193" t="s">
        <v>262</v>
      </c>
      <c r="D5" s="193"/>
      <c r="E5" s="193"/>
      <c r="F5" s="193"/>
      <c r="G5" s="193"/>
      <c r="H5" s="193"/>
      <c r="I5" s="193"/>
      <c r="J5" s="193"/>
      <c r="K5" s="193"/>
      <c r="L5" s="193"/>
      <c r="M5" s="193"/>
      <c r="N5" s="193"/>
      <c r="O5" s="193"/>
      <c r="P5" s="193"/>
      <c r="Q5" s="193"/>
      <c r="R5" s="193"/>
    </row>
    <row r="7" spans="3:18" ht="15.5" x14ac:dyDescent="0.35">
      <c r="C7" s="6" t="s">
        <v>49</v>
      </c>
      <c r="D7" s="6" t="s">
        <v>11</v>
      </c>
      <c r="E7" s="6" t="s">
        <v>12</v>
      </c>
      <c r="F7" s="6" t="s">
        <v>13</v>
      </c>
      <c r="G7" s="6" t="s">
        <v>2</v>
      </c>
      <c r="H7" s="6" t="s">
        <v>3</v>
      </c>
      <c r="I7" s="6" t="s">
        <v>4</v>
      </c>
      <c r="J7" s="6" t="s">
        <v>5</v>
      </c>
      <c r="K7" s="6" t="s">
        <v>6</v>
      </c>
      <c r="L7" s="6" t="s">
        <v>7</v>
      </c>
      <c r="M7" s="6" t="s">
        <v>8</v>
      </c>
      <c r="N7" s="6" t="s">
        <v>9</v>
      </c>
      <c r="O7" s="6" t="s">
        <v>10</v>
      </c>
      <c r="P7" s="6" t="s">
        <v>48</v>
      </c>
      <c r="Q7" s="6" t="s">
        <v>47</v>
      </c>
      <c r="R7" s="6" t="s">
        <v>46</v>
      </c>
    </row>
    <row r="8" spans="3:18" x14ac:dyDescent="0.35">
      <c r="C8" s="5" t="s">
        <v>19</v>
      </c>
      <c r="D8" s="1">
        <v>3</v>
      </c>
      <c r="E8" s="1">
        <v>3</v>
      </c>
      <c r="F8" s="1">
        <v>3</v>
      </c>
      <c r="G8" s="1">
        <v>1</v>
      </c>
      <c r="H8" s="1">
        <v>4</v>
      </c>
      <c r="I8" s="1">
        <v>5</v>
      </c>
      <c r="J8" s="1">
        <v>2</v>
      </c>
      <c r="K8" s="1">
        <v>2</v>
      </c>
      <c r="L8" s="1">
        <v>5</v>
      </c>
      <c r="M8" s="1">
        <v>2</v>
      </c>
      <c r="N8" s="1">
        <v>1</v>
      </c>
      <c r="O8" s="1">
        <v>2</v>
      </c>
      <c r="Q8" s="5">
        <f t="shared" ref="Q8:Q17" si="0">SUM(D8:O8)</f>
        <v>33</v>
      </c>
      <c r="R8" s="5">
        <f>AVERAGE(D8:O8)</f>
        <v>2.75</v>
      </c>
    </row>
    <row r="9" spans="3:18" x14ac:dyDescent="0.35">
      <c r="C9" s="5" t="s">
        <v>20</v>
      </c>
      <c r="D9" s="1">
        <v>1</v>
      </c>
      <c r="E9" s="1">
        <v>7</v>
      </c>
      <c r="F9" s="1">
        <v>6</v>
      </c>
      <c r="G9" s="1">
        <v>15</v>
      </c>
      <c r="H9" s="1">
        <v>0</v>
      </c>
      <c r="I9" s="1">
        <v>7</v>
      </c>
      <c r="J9" s="1">
        <v>5</v>
      </c>
      <c r="K9" s="1">
        <v>7</v>
      </c>
      <c r="L9" s="1">
        <v>2</v>
      </c>
      <c r="M9" s="1">
        <v>6</v>
      </c>
      <c r="N9" s="1">
        <v>1</v>
      </c>
      <c r="O9" s="1">
        <v>16</v>
      </c>
      <c r="Q9" s="5">
        <f t="shared" si="0"/>
        <v>73</v>
      </c>
      <c r="R9" s="5">
        <f t="shared" ref="R9:R17" si="1">AVERAGE(D9:O9)</f>
        <v>6.083333333333333</v>
      </c>
    </row>
    <row r="10" spans="3:18" x14ac:dyDescent="0.35">
      <c r="C10" s="5" t="s">
        <v>21</v>
      </c>
      <c r="D10" s="1">
        <v>6</v>
      </c>
      <c r="E10" s="1">
        <v>9</v>
      </c>
      <c r="F10" s="1">
        <v>1</v>
      </c>
      <c r="G10" s="1">
        <v>7</v>
      </c>
      <c r="H10" s="1">
        <v>0</v>
      </c>
      <c r="I10" s="1">
        <v>1</v>
      </c>
      <c r="J10" s="1">
        <v>11</v>
      </c>
      <c r="K10" s="1">
        <v>8</v>
      </c>
      <c r="L10" s="1">
        <v>8</v>
      </c>
      <c r="M10" s="1">
        <v>5</v>
      </c>
      <c r="N10" s="1">
        <v>6</v>
      </c>
      <c r="O10" s="1">
        <v>5</v>
      </c>
      <c r="Q10" s="5">
        <f t="shared" si="0"/>
        <v>67</v>
      </c>
      <c r="R10" s="5">
        <f t="shared" si="1"/>
        <v>5.583333333333333</v>
      </c>
    </row>
    <row r="11" spans="3:18" x14ac:dyDescent="0.35">
      <c r="C11" s="5" t="s">
        <v>22</v>
      </c>
      <c r="D11" s="1">
        <v>2</v>
      </c>
      <c r="E11" s="1">
        <v>3</v>
      </c>
      <c r="F11" s="1">
        <v>6</v>
      </c>
      <c r="G11" s="1">
        <v>14</v>
      </c>
      <c r="H11" s="1">
        <v>6</v>
      </c>
      <c r="I11" s="1">
        <v>7</v>
      </c>
      <c r="J11" s="1">
        <v>9</v>
      </c>
      <c r="K11" s="1">
        <v>7</v>
      </c>
      <c r="L11" s="1">
        <v>4</v>
      </c>
      <c r="M11" s="1">
        <v>1</v>
      </c>
      <c r="N11" s="1">
        <v>3</v>
      </c>
      <c r="O11" s="1">
        <v>5</v>
      </c>
      <c r="Q11" s="5">
        <f t="shared" si="0"/>
        <v>67</v>
      </c>
      <c r="R11" s="5">
        <f t="shared" si="1"/>
        <v>5.583333333333333</v>
      </c>
    </row>
    <row r="12" spans="3:18" x14ac:dyDescent="0.35">
      <c r="C12" s="5" t="s">
        <v>23</v>
      </c>
      <c r="D12" s="1">
        <v>8</v>
      </c>
      <c r="E12" s="1">
        <v>6</v>
      </c>
      <c r="F12" s="1">
        <v>8</v>
      </c>
      <c r="G12" s="1">
        <v>7</v>
      </c>
      <c r="H12" s="1">
        <v>7</v>
      </c>
      <c r="I12" s="1">
        <v>3</v>
      </c>
      <c r="J12" s="1">
        <v>4</v>
      </c>
      <c r="K12" s="1">
        <v>8</v>
      </c>
      <c r="L12" s="1">
        <v>2</v>
      </c>
      <c r="M12" s="1">
        <v>7</v>
      </c>
      <c r="N12" s="1">
        <v>8</v>
      </c>
      <c r="O12" s="1">
        <v>2</v>
      </c>
      <c r="Q12" s="5">
        <f t="shared" si="0"/>
        <v>70</v>
      </c>
      <c r="R12" s="5">
        <f t="shared" si="1"/>
        <v>5.833333333333333</v>
      </c>
    </row>
    <row r="13" spans="3:18" x14ac:dyDescent="0.35">
      <c r="C13" s="5" t="s">
        <v>24</v>
      </c>
      <c r="D13" s="1">
        <v>2</v>
      </c>
      <c r="E13" s="1">
        <v>11</v>
      </c>
      <c r="F13" s="1">
        <v>3</v>
      </c>
      <c r="G13" s="1">
        <v>4</v>
      </c>
      <c r="H13" s="1">
        <v>3</v>
      </c>
      <c r="I13" s="1">
        <v>6</v>
      </c>
      <c r="J13" s="1">
        <v>6</v>
      </c>
      <c r="K13" s="1">
        <v>1</v>
      </c>
      <c r="L13" s="1">
        <v>7</v>
      </c>
      <c r="M13" s="1">
        <v>4</v>
      </c>
      <c r="N13" s="1">
        <v>4</v>
      </c>
      <c r="O13" s="1">
        <v>6</v>
      </c>
      <c r="Q13" s="5">
        <f t="shared" si="0"/>
        <v>57</v>
      </c>
      <c r="R13" s="5">
        <f t="shared" si="1"/>
        <v>4.75</v>
      </c>
    </row>
    <row r="14" spans="3:18" x14ac:dyDescent="0.35">
      <c r="C14" s="5" t="s">
        <v>25</v>
      </c>
      <c r="D14" s="1">
        <v>7</v>
      </c>
      <c r="E14" s="1">
        <v>5</v>
      </c>
      <c r="F14" s="1">
        <v>0</v>
      </c>
      <c r="G14" s="1">
        <v>9</v>
      </c>
      <c r="H14" s="1">
        <v>5</v>
      </c>
      <c r="I14" s="1">
        <v>0</v>
      </c>
      <c r="J14" s="1">
        <v>3</v>
      </c>
      <c r="K14" s="1">
        <v>5</v>
      </c>
      <c r="L14" s="1">
        <v>9</v>
      </c>
      <c r="M14" s="1">
        <v>2</v>
      </c>
      <c r="N14" s="1">
        <v>2</v>
      </c>
      <c r="O14" s="1">
        <v>4</v>
      </c>
      <c r="Q14" s="5">
        <f t="shared" si="0"/>
        <v>51</v>
      </c>
      <c r="R14" s="5">
        <f t="shared" si="1"/>
        <v>4.25</v>
      </c>
    </row>
    <row r="15" spans="3:18" x14ac:dyDescent="0.35">
      <c r="C15" s="5" t="s">
        <v>26</v>
      </c>
      <c r="D15" s="1">
        <v>0</v>
      </c>
      <c r="E15" s="1">
        <v>8</v>
      </c>
      <c r="F15" s="1">
        <v>2</v>
      </c>
      <c r="G15" s="1">
        <v>4</v>
      </c>
      <c r="H15" s="1">
        <v>0</v>
      </c>
      <c r="I15" s="1">
        <v>0</v>
      </c>
      <c r="J15" s="1">
        <v>2</v>
      </c>
      <c r="K15" s="1">
        <v>2</v>
      </c>
      <c r="L15" s="1">
        <v>0</v>
      </c>
      <c r="M15" s="1">
        <v>1</v>
      </c>
      <c r="N15" s="1">
        <v>6</v>
      </c>
      <c r="O15" s="1">
        <v>6</v>
      </c>
      <c r="Q15" s="5">
        <f t="shared" si="0"/>
        <v>31</v>
      </c>
      <c r="R15" s="5">
        <f t="shared" si="1"/>
        <v>2.5833333333333335</v>
      </c>
    </row>
    <row r="16" spans="3:18" x14ac:dyDescent="0.35">
      <c r="C16" s="5" t="s">
        <v>27</v>
      </c>
      <c r="D16" s="1">
        <v>7</v>
      </c>
      <c r="E16" s="1">
        <v>6</v>
      </c>
      <c r="F16" s="1">
        <v>7</v>
      </c>
      <c r="G16" s="1">
        <v>1</v>
      </c>
      <c r="H16" s="1">
        <v>2</v>
      </c>
      <c r="I16" s="1">
        <v>1</v>
      </c>
      <c r="J16" s="1">
        <v>1</v>
      </c>
      <c r="K16" s="1">
        <v>6</v>
      </c>
      <c r="L16" s="1">
        <v>7</v>
      </c>
      <c r="M16" s="1">
        <v>0</v>
      </c>
      <c r="N16" s="1">
        <v>4</v>
      </c>
      <c r="O16" s="1">
        <v>7</v>
      </c>
      <c r="Q16" s="5">
        <f t="shared" si="0"/>
        <v>49</v>
      </c>
      <c r="R16" s="5">
        <f t="shared" si="1"/>
        <v>4.083333333333333</v>
      </c>
    </row>
    <row r="17" spans="3:18" x14ac:dyDescent="0.35">
      <c r="C17" s="5" t="s">
        <v>28</v>
      </c>
      <c r="D17" s="1">
        <v>2</v>
      </c>
      <c r="E17" s="1">
        <v>3</v>
      </c>
      <c r="F17" s="1">
        <v>0</v>
      </c>
      <c r="G17" s="1">
        <v>2</v>
      </c>
      <c r="H17" s="1">
        <v>5</v>
      </c>
      <c r="I17" s="1">
        <v>3</v>
      </c>
      <c r="J17" s="1">
        <v>0</v>
      </c>
      <c r="K17" s="1">
        <v>2</v>
      </c>
      <c r="L17" s="1">
        <v>3</v>
      </c>
      <c r="M17" s="1">
        <v>3</v>
      </c>
      <c r="N17" s="1">
        <v>2</v>
      </c>
      <c r="O17" s="1">
        <v>0</v>
      </c>
      <c r="Q17" s="5">
        <f t="shared" si="0"/>
        <v>25</v>
      </c>
      <c r="R17" s="5">
        <f t="shared" si="1"/>
        <v>2.0833333333333335</v>
      </c>
    </row>
    <row r="18" spans="3:18" x14ac:dyDescent="0.35">
      <c r="C18" s="5"/>
      <c r="P18" s="3" t="s">
        <v>15</v>
      </c>
      <c r="Q18" s="5">
        <f>SUM(Q8:Q17)</f>
        <v>523</v>
      </c>
      <c r="R18" s="5"/>
    </row>
    <row r="19" spans="3:18" x14ac:dyDescent="0.35">
      <c r="C19" s="5" t="s">
        <v>0</v>
      </c>
      <c r="D19" s="5">
        <f>MAX(D8:D17)</f>
        <v>8</v>
      </c>
      <c r="E19" s="5">
        <f t="shared" ref="E19:O19" si="2">MAX(E8:E17)</f>
        <v>11</v>
      </c>
      <c r="F19" s="5">
        <f t="shared" si="2"/>
        <v>8</v>
      </c>
      <c r="G19" s="5">
        <f t="shared" si="2"/>
        <v>15</v>
      </c>
      <c r="H19" s="5">
        <f t="shared" si="2"/>
        <v>7</v>
      </c>
      <c r="I19" s="5">
        <f t="shared" si="2"/>
        <v>7</v>
      </c>
      <c r="J19" s="5">
        <f t="shared" si="2"/>
        <v>11</v>
      </c>
      <c r="K19" s="5">
        <f t="shared" si="2"/>
        <v>8</v>
      </c>
      <c r="L19" s="5">
        <f t="shared" si="2"/>
        <v>9</v>
      </c>
      <c r="M19" s="5">
        <f t="shared" si="2"/>
        <v>7</v>
      </c>
      <c r="N19" s="5">
        <f t="shared" si="2"/>
        <v>8</v>
      </c>
      <c r="O19" s="5">
        <f t="shared" si="2"/>
        <v>16</v>
      </c>
      <c r="P19" s="3" t="s">
        <v>0</v>
      </c>
      <c r="Q19" s="5">
        <f>MAX(Q8:Q17)</f>
        <v>73</v>
      </c>
      <c r="R19" s="5"/>
    </row>
    <row r="20" spans="3:18" x14ac:dyDescent="0.35">
      <c r="C20" s="5" t="s">
        <v>1</v>
      </c>
      <c r="D20" s="5">
        <f>MIN(D8:D17)</f>
        <v>0</v>
      </c>
      <c r="E20" s="5">
        <f t="shared" ref="E20:O20" si="3">MIN(E8:E17)</f>
        <v>3</v>
      </c>
      <c r="F20" s="5">
        <f t="shared" si="3"/>
        <v>0</v>
      </c>
      <c r="G20" s="5">
        <f t="shared" si="3"/>
        <v>1</v>
      </c>
      <c r="H20" s="5">
        <f t="shared" si="3"/>
        <v>0</v>
      </c>
      <c r="I20" s="5">
        <f t="shared" si="3"/>
        <v>0</v>
      </c>
      <c r="J20" s="5">
        <f t="shared" si="3"/>
        <v>0</v>
      </c>
      <c r="K20" s="5">
        <f t="shared" si="3"/>
        <v>1</v>
      </c>
      <c r="L20" s="5">
        <f t="shared" si="3"/>
        <v>0</v>
      </c>
      <c r="M20" s="5">
        <f t="shared" si="3"/>
        <v>0</v>
      </c>
      <c r="N20" s="5">
        <f t="shared" si="3"/>
        <v>1</v>
      </c>
      <c r="O20" s="5">
        <f t="shared" si="3"/>
        <v>0</v>
      </c>
      <c r="P20" s="3" t="s">
        <v>1</v>
      </c>
      <c r="Q20" s="5">
        <f>MIN(Q8:Q17)</f>
        <v>25</v>
      </c>
      <c r="R20" s="5"/>
    </row>
    <row r="21" spans="3:18" x14ac:dyDescent="0.35">
      <c r="C21" s="5" t="s">
        <v>14</v>
      </c>
      <c r="D21" s="5">
        <f>AVERAGE(D8:D17)</f>
        <v>3.8</v>
      </c>
      <c r="E21" s="5">
        <f t="shared" ref="E21:O21" si="4">AVERAGE(E8:E17)</f>
        <v>6.1</v>
      </c>
      <c r="F21" s="5">
        <f t="shared" si="4"/>
        <v>3.6</v>
      </c>
      <c r="G21" s="5">
        <f t="shared" si="4"/>
        <v>6.4</v>
      </c>
      <c r="H21" s="5">
        <f t="shared" si="4"/>
        <v>3.2</v>
      </c>
      <c r="I21" s="5">
        <f t="shared" si="4"/>
        <v>3.3</v>
      </c>
      <c r="J21" s="5">
        <f t="shared" si="4"/>
        <v>4.3</v>
      </c>
      <c r="K21" s="5">
        <f t="shared" si="4"/>
        <v>4.8</v>
      </c>
      <c r="L21" s="5">
        <f t="shared" si="4"/>
        <v>4.7</v>
      </c>
      <c r="M21" s="5">
        <f t="shared" si="4"/>
        <v>3.1</v>
      </c>
      <c r="N21" s="5">
        <f t="shared" si="4"/>
        <v>3.7</v>
      </c>
      <c r="O21" s="5">
        <f t="shared" si="4"/>
        <v>5.3</v>
      </c>
      <c r="P21" s="3" t="s">
        <v>17</v>
      </c>
      <c r="Q21" s="5">
        <f>AVERAGE(Q8:Q17)</f>
        <v>52.3</v>
      </c>
      <c r="R21" s="5"/>
    </row>
    <row r="22" spans="3:18" x14ac:dyDescent="0.35">
      <c r="D22" s="1"/>
      <c r="E22" s="1"/>
      <c r="F22" s="1"/>
      <c r="G22" s="1"/>
      <c r="H22" s="1"/>
      <c r="I22" s="1"/>
      <c r="J22" s="1"/>
      <c r="K22" s="1"/>
      <c r="L22" s="1"/>
      <c r="M22" s="1"/>
      <c r="N22" s="1"/>
      <c r="O22" s="1"/>
    </row>
    <row r="23" spans="3:18" ht="15.5" x14ac:dyDescent="0.35">
      <c r="C23" s="191" t="s">
        <v>18</v>
      </c>
      <c r="D23" s="192"/>
    </row>
    <row r="25" spans="3:18" x14ac:dyDescent="0.35">
      <c r="C25" s="5" t="s">
        <v>19</v>
      </c>
      <c r="D25" s="1" t="str">
        <f>IF(R8&lt;3,"FAIL","PASS")</f>
        <v>FAIL</v>
      </c>
    </row>
    <row r="26" spans="3:18" x14ac:dyDescent="0.35">
      <c r="C26" s="5" t="s">
        <v>20</v>
      </c>
      <c r="D26" s="1" t="str">
        <f t="shared" ref="D26:D34" si="5">IF(R9&lt;3,"FAIL","PASS")</f>
        <v>PASS</v>
      </c>
    </row>
    <row r="27" spans="3:18" x14ac:dyDescent="0.35">
      <c r="C27" s="5" t="s">
        <v>21</v>
      </c>
      <c r="D27" s="1" t="str">
        <f t="shared" si="5"/>
        <v>PASS</v>
      </c>
    </row>
    <row r="28" spans="3:18" x14ac:dyDescent="0.35">
      <c r="C28" s="5" t="s">
        <v>22</v>
      </c>
      <c r="D28" s="1" t="str">
        <f t="shared" si="5"/>
        <v>PASS</v>
      </c>
    </row>
    <row r="29" spans="3:18" x14ac:dyDescent="0.35">
      <c r="C29" s="5" t="s">
        <v>23</v>
      </c>
      <c r="D29" s="1" t="str">
        <f t="shared" si="5"/>
        <v>PASS</v>
      </c>
    </row>
    <row r="30" spans="3:18" x14ac:dyDescent="0.35">
      <c r="C30" s="5" t="s">
        <v>24</v>
      </c>
      <c r="D30" s="1" t="str">
        <f t="shared" si="5"/>
        <v>PASS</v>
      </c>
    </row>
    <row r="31" spans="3:18" x14ac:dyDescent="0.35">
      <c r="C31" s="5" t="s">
        <v>25</v>
      </c>
      <c r="D31" s="1" t="str">
        <f t="shared" si="5"/>
        <v>PASS</v>
      </c>
    </row>
    <row r="32" spans="3:18" x14ac:dyDescent="0.35">
      <c r="C32" s="5" t="s">
        <v>26</v>
      </c>
      <c r="D32" s="1" t="str">
        <f t="shared" si="5"/>
        <v>FAIL</v>
      </c>
    </row>
    <row r="33" spans="3:5" x14ac:dyDescent="0.35">
      <c r="C33" s="5" t="s">
        <v>27</v>
      </c>
      <c r="D33" s="1" t="str">
        <f t="shared" si="5"/>
        <v>PASS</v>
      </c>
    </row>
    <row r="34" spans="3:5" x14ac:dyDescent="0.35">
      <c r="C34" s="5" t="s">
        <v>28</v>
      </c>
      <c r="D34" s="1" t="str">
        <f t="shared" si="5"/>
        <v>FAIL</v>
      </c>
    </row>
    <row r="37" spans="3:5" ht="15.5" x14ac:dyDescent="0.35">
      <c r="C37" s="191" t="s">
        <v>263</v>
      </c>
      <c r="D37" s="194"/>
      <c r="E37" s="194"/>
    </row>
    <row r="39" spans="3:5" x14ac:dyDescent="0.35">
      <c r="C39" s="195" t="str">
        <f>CONCATENATE(C25,",",D25,",",R8)</f>
        <v>Mike,FAIL,2.75</v>
      </c>
      <c r="D39" s="195"/>
      <c r="E39" s="195"/>
    </row>
    <row r="40" spans="3:5" x14ac:dyDescent="0.35">
      <c r="C40" s="195" t="str">
        <f t="shared" ref="C40:C48" si="6">CONCATENATE(C26,",",D26,",",R9)</f>
        <v>Steve,PASS,6.08333333333333</v>
      </c>
      <c r="D40" s="195"/>
      <c r="E40" s="195"/>
    </row>
    <row r="41" spans="3:5" x14ac:dyDescent="0.35">
      <c r="C41" s="195" t="str">
        <f t="shared" si="6"/>
        <v>Linda,PASS,5.58333333333333</v>
      </c>
      <c r="D41" s="195"/>
      <c r="E41" s="195"/>
    </row>
    <row r="42" spans="3:5" x14ac:dyDescent="0.35">
      <c r="C42" s="195" t="str">
        <f t="shared" si="6"/>
        <v>Angela,PASS,5.58333333333333</v>
      </c>
      <c r="D42" s="195"/>
      <c r="E42" s="195"/>
    </row>
    <row r="43" spans="3:5" x14ac:dyDescent="0.35">
      <c r="C43" s="195" t="str">
        <f t="shared" si="6"/>
        <v>Peter,PASS,5.83333333333333</v>
      </c>
      <c r="D43" s="195"/>
      <c r="E43" s="195"/>
    </row>
    <row r="44" spans="3:5" x14ac:dyDescent="0.35">
      <c r="C44" s="195" t="str">
        <f t="shared" si="6"/>
        <v>Vikus,PASS,4.75</v>
      </c>
      <c r="D44" s="195"/>
      <c r="E44" s="195"/>
    </row>
    <row r="45" spans="3:5" x14ac:dyDescent="0.35">
      <c r="C45" s="195" t="str">
        <f t="shared" si="6"/>
        <v>Warrick,PASS,4.25</v>
      </c>
      <c r="D45" s="195"/>
      <c r="E45" s="195"/>
    </row>
    <row r="46" spans="3:5" x14ac:dyDescent="0.35">
      <c r="C46" s="195" t="str">
        <f t="shared" si="6"/>
        <v>Richard,FAIL,2.58333333333333</v>
      </c>
      <c r="D46" s="195"/>
      <c r="E46" s="195"/>
    </row>
    <row r="47" spans="3:5" x14ac:dyDescent="0.35">
      <c r="C47" s="195" t="str">
        <f t="shared" si="6"/>
        <v>Rachael,PASS,4.08333333333333</v>
      </c>
      <c r="D47" s="195"/>
      <c r="E47" s="195"/>
    </row>
    <row r="48" spans="3:5" x14ac:dyDescent="0.35">
      <c r="C48" s="195" t="str">
        <f t="shared" si="6"/>
        <v>Meline,FAIL,2.08333333333333</v>
      </c>
      <c r="D48" s="195"/>
      <c r="E48" s="195"/>
    </row>
    <row r="49" spans="3:4" x14ac:dyDescent="0.35">
      <c r="C49" t="str">
        <f>CONCATENATE(C35,D35,R18)</f>
        <v/>
      </c>
    </row>
    <row r="53" spans="3:4" x14ac:dyDescent="0.35">
      <c r="C53" s="5" t="s">
        <v>266</v>
      </c>
      <c r="D53" s="5" t="s">
        <v>265</v>
      </c>
    </row>
    <row r="54" spans="3:4" x14ac:dyDescent="0.35">
      <c r="C54" s="5" t="s">
        <v>19</v>
      </c>
      <c r="D54" s="35">
        <f t="shared" ref="D54:D63" si="7">R8</f>
        <v>2.75</v>
      </c>
    </row>
    <row r="55" spans="3:4" x14ac:dyDescent="0.35">
      <c r="C55" s="5" t="s">
        <v>20</v>
      </c>
      <c r="D55" s="35">
        <f t="shared" si="7"/>
        <v>6.083333333333333</v>
      </c>
    </row>
    <row r="56" spans="3:4" x14ac:dyDescent="0.35">
      <c r="C56" s="5" t="s">
        <v>21</v>
      </c>
      <c r="D56" s="35">
        <f t="shared" si="7"/>
        <v>5.583333333333333</v>
      </c>
    </row>
    <row r="57" spans="3:4" x14ac:dyDescent="0.35">
      <c r="C57" s="5" t="s">
        <v>22</v>
      </c>
      <c r="D57" s="35">
        <f t="shared" si="7"/>
        <v>5.583333333333333</v>
      </c>
    </row>
    <row r="58" spans="3:4" x14ac:dyDescent="0.35">
      <c r="C58" s="5" t="s">
        <v>23</v>
      </c>
      <c r="D58" s="35">
        <f t="shared" si="7"/>
        <v>5.833333333333333</v>
      </c>
    </row>
    <row r="59" spans="3:4" x14ac:dyDescent="0.35">
      <c r="C59" s="5" t="s">
        <v>24</v>
      </c>
      <c r="D59" s="35">
        <f t="shared" si="7"/>
        <v>4.75</v>
      </c>
    </row>
    <row r="60" spans="3:4" x14ac:dyDescent="0.35">
      <c r="C60" s="5" t="s">
        <v>25</v>
      </c>
      <c r="D60" s="35">
        <f t="shared" si="7"/>
        <v>4.25</v>
      </c>
    </row>
    <row r="61" spans="3:4" x14ac:dyDescent="0.35">
      <c r="C61" s="5" t="s">
        <v>26</v>
      </c>
      <c r="D61" s="35">
        <f t="shared" si="7"/>
        <v>2.5833333333333335</v>
      </c>
    </row>
    <row r="62" spans="3:4" x14ac:dyDescent="0.35">
      <c r="C62" s="5" t="s">
        <v>27</v>
      </c>
      <c r="D62" s="35">
        <f t="shared" si="7"/>
        <v>4.083333333333333</v>
      </c>
    </row>
    <row r="63" spans="3:4" x14ac:dyDescent="0.35">
      <c r="C63" s="5" t="s">
        <v>28</v>
      </c>
      <c r="D63" s="35">
        <f t="shared" si="7"/>
        <v>2.0833333333333335</v>
      </c>
    </row>
  </sheetData>
  <mergeCells count="13">
    <mergeCell ref="C46:E46"/>
    <mergeCell ref="C47:E47"/>
    <mergeCell ref="C48:E48"/>
    <mergeCell ref="C41:E41"/>
    <mergeCell ref="C42:E42"/>
    <mergeCell ref="C43:E43"/>
    <mergeCell ref="C44:E44"/>
    <mergeCell ref="C45:E45"/>
    <mergeCell ref="C23:D23"/>
    <mergeCell ref="C5:R5"/>
    <mergeCell ref="C37:E37"/>
    <mergeCell ref="C40:E40"/>
    <mergeCell ref="C39:E39"/>
  </mergeCells>
  <conditionalFormatting sqref="D25:D34">
    <cfRule type="cellIs" dxfId="6" priority="1" operator="equal">
      <formula>"FAIL"</formula>
    </cfRule>
    <cfRule type="cellIs" dxfId="5" priority="2" operator="equal">
      <formula>"PASS"</formula>
    </cfRule>
  </conditionalFormatting>
  <pageMargins left="0.7" right="0.7" top="0.75" bottom="0.75" header="0.3" footer="0.3"/>
  <pageSetup paperSize="9" orientation="portrait" r:id="rId1"/>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C1:W52"/>
  <sheetViews>
    <sheetView topLeftCell="B2" zoomScale="70" zoomScaleNormal="70" workbookViewId="0">
      <selection activeCell="S24" sqref="S24"/>
    </sheetView>
  </sheetViews>
  <sheetFormatPr defaultRowHeight="14.5" x14ac:dyDescent="0.35"/>
  <cols>
    <col min="1" max="1" width="0" hidden="1" customWidth="1"/>
    <col min="3" max="3" width="11.54296875" customWidth="1"/>
    <col min="4" max="4" width="14.36328125" customWidth="1"/>
    <col min="5" max="11" width="10.54296875" customWidth="1"/>
    <col min="12" max="12" width="12" customWidth="1"/>
    <col min="13" max="15" width="11.6328125" customWidth="1"/>
    <col min="16" max="16" width="15.453125" bestFit="1" customWidth="1"/>
    <col min="17" max="17" width="17" customWidth="1"/>
    <col min="18" max="18" width="16.1796875" customWidth="1"/>
  </cols>
  <sheetData>
    <row r="1" spans="3:23" hidden="1" x14ac:dyDescent="0.35"/>
    <row r="4" spans="3:23" ht="25" customHeight="1" x14ac:dyDescent="0.6">
      <c r="C4" s="198" t="s">
        <v>262</v>
      </c>
      <c r="D4" s="198"/>
      <c r="E4" s="198"/>
      <c r="F4" s="198"/>
      <c r="G4" s="198"/>
      <c r="H4" s="198"/>
      <c r="I4" s="198"/>
      <c r="J4" s="198"/>
      <c r="K4" s="198"/>
      <c r="L4" s="198"/>
      <c r="M4" s="198"/>
      <c r="N4" s="198"/>
      <c r="O4" s="198"/>
      <c r="P4" s="198"/>
      <c r="Q4" s="198"/>
      <c r="R4" s="198"/>
    </row>
    <row r="6" spans="3:23" x14ac:dyDescent="0.35">
      <c r="U6" s="2"/>
      <c r="V6" s="2"/>
      <c r="W6" s="2"/>
    </row>
    <row r="7" spans="3:23" x14ac:dyDescent="0.35">
      <c r="C7" s="1" t="s">
        <v>49</v>
      </c>
      <c r="D7" s="1" t="s">
        <v>11</v>
      </c>
      <c r="E7" s="1" t="s">
        <v>12</v>
      </c>
      <c r="F7" s="1" t="s">
        <v>13</v>
      </c>
      <c r="G7" s="1" t="s">
        <v>2</v>
      </c>
      <c r="H7" s="1" t="s">
        <v>3</v>
      </c>
      <c r="I7" s="1" t="s">
        <v>4</v>
      </c>
      <c r="J7" s="1" t="s">
        <v>5</v>
      </c>
      <c r="K7" s="1" t="s">
        <v>6</v>
      </c>
      <c r="L7" s="1" t="s">
        <v>7</v>
      </c>
      <c r="M7" s="1" t="s">
        <v>8</v>
      </c>
      <c r="N7" s="1" t="s">
        <v>9</v>
      </c>
      <c r="O7" s="1" t="s">
        <v>10</v>
      </c>
      <c r="P7" s="1" t="s">
        <v>266</v>
      </c>
      <c r="Q7" s="1" t="s">
        <v>16</v>
      </c>
      <c r="R7" s="1" t="s">
        <v>46</v>
      </c>
    </row>
    <row r="8" spans="3:23" x14ac:dyDescent="0.35">
      <c r="C8" s="5" t="s">
        <v>19</v>
      </c>
      <c r="D8" s="1">
        <v>3</v>
      </c>
      <c r="E8" s="1">
        <v>3</v>
      </c>
      <c r="F8" s="1">
        <v>3</v>
      </c>
      <c r="G8" s="1">
        <v>1</v>
      </c>
      <c r="H8" s="1">
        <v>4</v>
      </c>
      <c r="I8" s="1">
        <v>5</v>
      </c>
      <c r="J8" s="1">
        <v>2</v>
      </c>
      <c r="K8" s="1">
        <v>2</v>
      </c>
      <c r="L8" s="1">
        <v>5</v>
      </c>
      <c r="M8" s="1">
        <v>2</v>
      </c>
      <c r="N8" s="1">
        <v>1</v>
      </c>
      <c r="O8" s="1">
        <v>2</v>
      </c>
      <c r="P8" s="1"/>
      <c r="Q8" s="1">
        <f t="shared" ref="Q8:Q17" si="0">SUM(D8:O8)</f>
        <v>33</v>
      </c>
      <c r="R8" s="1">
        <f t="shared" ref="R8:R17" si="1">AVERAGE(D8:O8)</f>
        <v>2.75</v>
      </c>
    </row>
    <row r="9" spans="3:23" x14ac:dyDescent="0.35">
      <c r="C9" s="5" t="s">
        <v>20</v>
      </c>
      <c r="D9" s="1">
        <v>1</v>
      </c>
      <c r="E9" s="1">
        <v>7</v>
      </c>
      <c r="F9" s="1">
        <v>6</v>
      </c>
      <c r="G9" s="1">
        <v>15</v>
      </c>
      <c r="H9" s="1">
        <v>0</v>
      </c>
      <c r="I9" s="1">
        <v>7</v>
      </c>
      <c r="J9" s="1">
        <v>5</v>
      </c>
      <c r="K9" s="1">
        <v>7</v>
      </c>
      <c r="L9" s="1">
        <v>2</v>
      </c>
      <c r="M9" s="1">
        <v>6</v>
      </c>
      <c r="N9" s="1">
        <v>1</v>
      </c>
      <c r="O9" s="1">
        <v>16</v>
      </c>
      <c r="P9" s="1"/>
      <c r="Q9" s="1">
        <f t="shared" si="0"/>
        <v>73</v>
      </c>
      <c r="R9" s="1">
        <f t="shared" si="1"/>
        <v>6.083333333333333</v>
      </c>
    </row>
    <row r="10" spans="3:23" x14ac:dyDescent="0.35">
      <c r="C10" s="5" t="s">
        <v>21</v>
      </c>
      <c r="D10" s="1">
        <v>6</v>
      </c>
      <c r="E10" s="1">
        <v>9</v>
      </c>
      <c r="F10" s="1">
        <v>1</v>
      </c>
      <c r="G10" s="1">
        <v>7</v>
      </c>
      <c r="H10" s="1">
        <v>0</v>
      </c>
      <c r="I10" s="1">
        <v>1</v>
      </c>
      <c r="J10" s="1">
        <v>11</v>
      </c>
      <c r="K10" s="1">
        <v>8</v>
      </c>
      <c r="L10" s="1">
        <v>8</v>
      </c>
      <c r="M10" s="1">
        <v>5</v>
      </c>
      <c r="N10" s="1">
        <v>6</v>
      </c>
      <c r="O10" s="1">
        <v>5</v>
      </c>
      <c r="P10" s="1"/>
      <c r="Q10" s="1">
        <f t="shared" si="0"/>
        <v>67</v>
      </c>
      <c r="R10" s="1">
        <f t="shared" si="1"/>
        <v>5.583333333333333</v>
      </c>
    </row>
    <row r="11" spans="3:23" x14ac:dyDescent="0.35">
      <c r="C11" s="5" t="s">
        <v>22</v>
      </c>
      <c r="D11" s="1">
        <v>2</v>
      </c>
      <c r="E11" s="1">
        <v>3</v>
      </c>
      <c r="F11" s="1">
        <v>6</v>
      </c>
      <c r="G11" s="1">
        <v>14</v>
      </c>
      <c r="H11" s="1">
        <v>6</v>
      </c>
      <c r="I11" s="1">
        <v>7</v>
      </c>
      <c r="J11" s="1">
        <v>9</v>
      </c>
      <c r="K11" s="1">
        <v>7</v>
      </c>
      <c r="L11" s="1">
        <v>4</v>
      </c>
      <c r="M11" s="1">
        <v>1</v>
      </c>
      <c r="N11" s="1">
        <v>3</v>
      </c>
      <c r="O11" s="1">
        <v>5</v>
      </c>
      <c r="P11" s="1"/>
      <c r="Q11" s="1">
        <f t="shared" si="0"/>
        <v>67</v>
      </c>
      <c r="R11" s="1">
        <f t="shared" si="1"/>
        <v>5.583333333333333</v>
      </c>
    </row>
    <row r="12" spans="3:23" x14ac:dyDescent="0.35">
      <c r="C12" s="5" t="s">
        <v>23</v>
      </c>
      <c r="D12" s="1">
        <v>8</v>
      </c>
      <c r="E12" s="1">
        <v>6</v>
      </c>
      <c r="F12" s="1">
        <v>8</v>
      </c>
      <c r="G12" s="1">
        <v>7</v>
      </c>
      <c r="H12" s="1">
        <v>7</v>
      </c>
      <c r="I12" s="1">
        <v>3</v>
      </c>
      <c r="J12" s="1">
        <v>4</v>
      </c>
      <c r="K12" s="1">
        <v>8</v>
      </c>
      <c r="L12" s="1">
        <v>2</v>
      </c>
      <c r="M12" s="1">
        <v>7</v>
      </c>
      <c r="N12" s="1">
        <v>8</v>
      </c>
      <c r="O12" s="1">
        <v>2</v>
      </c>
      <c r="P12" s="1"/>
      <c r="Q12" s="1">
        <f t="shared" si="0"/>
        <v>70</v>
      </c>
      <c r="R12" s="1">
        <f t="shared" si="1"/>
        <v>5.833333333333333</v>
      </c>
    </row>
    <row r="13" spans="3:23" x14ac:dyDescent="0.35">
      <c r="C13" s="5" t="s">
        <v>24</v>
      </c>
      <c r="D13" s="1">
        <v>2</v>
      </c>
      <c r="E13" s="1">
        <v>11</v>
      </c>
      <c r="F13" s="1">
        <v>3</v>
      </c>
      <c r="G13" s="1">
        <v>4</v>
      </c>
      <c r="H13" s="1">
        <v>3</v>
      </c>
      <c r="I13" s="1">
        <v>6</v>
      </c>
      <c r="J13" s="1">
        <v>6</v>
      </c>
      <c r="K13" s="1">
        <v>1</v>
      </c>
      <c r="L13" s="1">
        <v>7</v>
      </c>
      <c r="M13" s="1">
        <v>4</v>
      </c>
      <c r="N13" s="1">
        <v>4</v>
      </c>
      <c r="O13" s="1">
        <v>6</v>
      </c>
      <c r="P13" s="1"/>
      <c r="Q13" s="1">
        <f t="shared" si="0"/>
        <v>57</v>
      </c>
      <c r="R13" s="1">
        <f t="shared" si="1"/>
        <v>4.75</v>
      </c>
    </row>
    <row r="14" spans="3:23" x14ac:dyDescent="0.35">
      <c r="C14" s="5" t="s">
        <v>25</v>
      </c>
      <c r="D14" s="1">
        <v>7</v>
      </c>
      <c r="E14" s="1">
        <v>5</v>
      </c>
      <c r="F14" s="1">
        <v>0</v>
      </c>
      <c r="G14" s="1">
        <v>9</v>
      </c>
      <c r="H14" s="1">
        <v>5</v>
      </c>
      <c r="I14" s="1">
        <v>0</v>
      </c>
      <c r="J14" s="1">
        <v>3</v>
      </c>
      <c r="K14" s="1">
        <v>5</v>
      </c>
      <c r="L14" s="1">
        <v>9</v>
      </c>
      <c r="M14" s="1">
        <v>2</v>
      </c>
      <c r="N14" s="1">
        <v>2</v>
      </c>
      <c r="O14" s="1">
        <v>4</v>
      </c>
      <c r="P14" s="1"/>
      <c r="Q14" s="1">
        <f t="shared" si="0"/>
        <v>51</v>
      </c>
      <c r="R14" s="1">
        <f t="shared" si="1"/>
        <v>4.25</v>
      </c>
    </row>
    <row r="15" spans="3:23" x14ac:dyDescent="0.35">
      <c r="C15" s="5" t="s">
        <v>26</v>
      </c>
      <c r="D15" s="1">
        <v>0</v>
      </c>
      <c r="E15" s="1">
        <v>8</v>
      </c>
      <c r="F15" s="1">
        <v>2</v>
      </c>
      <c r="G15" s="1">
        <v>4</v>
      </c>
      <c r="H15" s="1">
        <v>0</v>
      </c>
      <c r="I15" s="1">
        <v>0</v>
      </c>
      <c r="J15" s="1">
        <v>2</v>
      </c>
      <c r="K15" s="1">
        <v>2</v>
      </c>
      <c r="L15" s="1">
        <v>0</v>
      </c>
      <c r="M15" s="1">
        <v>1</v>
      </c>
      <c r="N15" s="1">
        <v>6</v>
      </c>
      <c r="O15" s="1">
        <v>6</v>
      </c>
      <c r="P15" s="1"/>
      <c r="Q15" s="1">
        <f t="shared" si="0"/>
        <v>31</v>
      </c>
      <c r="R15" s="1">
        <f t="shared" si="1"/>
        <v>2.5833333333333335</v>
      </c>
    </row>
    <row r="16" spans="3:23" x14ac:dyDescent="0.35">
      <c r="C16" s="5" t="s">
        <v>27</v>
      </c>
      <c r="D16" s="1">
        <v>7</v>
      </c>
      <c r="E16" s="1">
        <v>6</v>
      </c>
      <c r="F16" s="1">
        <v>7</v>
      </c>
      <c r="G16" s="1">
        <v>1</v>
      </c>
      <c r="H16" s="1">
        <v>2</v>
      </c>
      <c r="I16" s="1">
        <v>1</v>
      </c>
      <c r="J16" s="1">
        <v>1</v>
      </c>
      <c r="K16" s="1">
        <v>6</v>
      </c>
      <c r="L16" s="1">
        <v>7</v>
      </c>
      <c r="M16" s="1">
        <v>0</v>
      </c>
      <c r="N16" s="1">
        <v>4</v>
      </c>
      <c r="O16" s="1">
        <v>7</v>
      </c>
      <c r="P16" s="1"/>
      <c r="Q16" s="1">
        <f t="shared" si="0"/>
        <v>49</v>
      </c>
      <c r="R16" s="1">
        <f t="shared" si="1"/>
        <v>4.083333333333333</v>
      </c>
    </row>
    <row r="17" spans="3:18" x14ac:dyDescent="0.35">
      <c r="C17" s="5" t="s">
        <v>28</v>
      </c>
      <c r="D17" s="1">
        <v>2</v>
      </c>
      <c r="E17" s="1">
        <v>3</v>
      </c>
      <c r="F17" s="1">
        <v>0</v>
      </c>
      <c r="G17" s="1">
        <v>2</v>
      </c>
      <c r="H17" s="1">
        <v>5</v>
      </c>
      <c r="I17" s="1">
        <v>3</v>
      </c>
      <c r="J17" s="1">
        <v>0</v>
      </c>
      <c r="K17" s="1">
        <v>2</v>
      </c>
      <c r="L17" s="1">
        <v>3</v>
      </c>
      <c r="M17" s="1">
        <v>3</v>
      </c>
      <c r="N17" s="1">
        <v>2</v>
      </c>
      <c r="O17" s="1">
        <v>0</v>
      </c>
      <c r="P17" s="1"/>
      <c r="Q17" s="1">
        <f t="shared" si="0"/>
        <v>25</v>
      </c>
      <c r="R17" s="1">
        <f t="shared" si="1"/>
        <v>2.0833333333333335</v>
      </c>
    </row>
    <row r="18" spans="3:18" x14ac:dyDescent="0.35">
      <c r="C18" s="5"/>
      <c r="D18" s="1"/>
      <c r="E18" s="1"/>
      <c r="F18" s="1"/>
      <c r="G18" s="1"/>
      <c r="H18" s="1"/>
      <c r="I18" s="1"/>
      <c r="J18" s="1"/>
      <c r="K18" s="1"/>
      <c r="L18" s="1"/>
      <c r="M18" s="1"/>
      <c r="N18" s="1"/>
      <c r="O18" s="1"/>
      <c r="P18" s="5" t="s">
        <v>15</v>
      </c>
      <c r="Q18" s="1">
        <f>SUM(Q8:Q17)</f>
        <v>523</v>
      </c>
      <c r="R18" s="1"/>
    </row>
    <row r="19" spans="3:18" x14ac:dyDescent="0.35">
      <c r="C19" s="5" t="s">
        <v>0</v>
      </c>
      <c r="D19" s="1">
        <f t="shared" ref="D19:O19" si="2">MAX(D8:D17)</f>
        <v>8</v>
      </c>
      <c r="E19" s="1">
        <f t="shared" si="2"/>
        <v>11</v>
      </c>
      <c r="F19" s="1">
        <f t="shared" si="2"/>
        <v>8</v>
      </c>
      <c r="G19" s="1">
        <f t="shared" si="2"/>
        <v>15</v>
      </c>
      <c r="H19" s="1">
        <f t="shared" si="2"/>
        <v>7</v>
      </c>
      <c r="I19" s="1">
        <f t="shared" si="2"/>
        <v>7</v>
      </c>
      <c r="J19" s="1">
        <f t="shared" si="2"/>
        <v>11</v>
      </c>
      <c r="K19" s="1">
        <f t="shared" si="2"/>
        <v>8</v>
      </c>
      <c r="L19" s="1">
        <f t="shared" si="2"/>
        <v>9</v>
      </c>
      <c r="M19" s="1">
        <f t="shared" si="2"/>
        <v>7</v>
      </c>
      <c r="N19" s="1">
        <f t="shared" si="2"/>
        <v>8</v>
      </c>
      <c r="O19" s="1">
        <f t="shared" si="2"/>
        <v>16</v>
      </c>
      <c r="P19" s="5" t="s">
        <v>0</v>
      </c>
      <c r="Q19" s="1">
        <f>MAX(Q8:Q17)</f>
        <v>73</v>
      </c>
      <c r="R19" s="1"/>
    </row>
    <row r="20" spans="3:18" x14ac:dyDescent="0.35">
      <c r="C20" s="5" t="s">
        <v>1</v>
      </c>
      <c r="D20" s="1">
        <f t="shared" ref="D20:O20" si="3">MIN(D8:D17)</f>
        <v>0</v>
      </c>
      <c r="E20" s="1">
        <f t="shared" si="3"/>
        <v>3</v>
      </c>
      <c r="F20" s="1">
        <f t="shared" si="3"/>
        <v>0</v>
      </c>
      <c r="G20" s="1">
        <f t="shared" si="3"/>
        <v>1</v>
      </c>
      <c r="H20" s="1">
        <f t="shared" si="3"/>
        <v>0</v>
      </c>
      <c r="I20" s="1">
        <f t="shared" si="3"/>
        <v>0</v>
      </c>
      <c r="J20" s="1">
        <f t="shared" si="3"/>
        <v>0</v>
      </c>
      <c r="K20" s="1">
        <f t="shared" si="3"/>
        <v>1</v>
      </c>
      <c r="L20" s="1">
        <f t="shared" si="3"/>
        <v>0</v>
      </c>
      <c r="M20" s="1">
        <f t="shared" si="3"/>
        <v>0</v>
      </c>
      <c r="N20" s="1">
        <f t="shared" si="3"/>
        <v>1</v>
      </c>
      <c r="O20" s="1">
        <f t="shared" si="3"/>
        <v>0</v>
      </c>
      <c r="P20" s="5" t="s">
        <v>1</v>
      </c>
      <c r="Q20" s="1">
        <f>MIN(Q8:Q17)</f>
        <v>25</v>
      </c>
      <c r="R20" s="1"/>
    </row>
    <row r="21" spans="3:18" x14ac:dyDescent="0.35">
      <c r="C21" s="5" t="s">
        <v>14</v>
      </c>
      <c r="D21" s="1">
        <f t="shared" ref="D21:O21" si="4">AVERAGE(D8:D17)</f>
        <v>3.8</v>
      </c>
      <c r="E21" s="1">
        <f t="shared" si="4"/>
        <v>6.1</v>
      </c>
      <c r="F21" s="1">
        <f t="shared" si="4"/>
        <v>3.6</v>
      </c>
      <c r="G21" s="1">
        <f t="shared" si="4"/>
        <v>6.4</v>
      </c>
      <c r="H21" s="1">
        <f t="shared" si="4"/>
        <v>3.2</v>
      </c>
      <c r="I21" s="1">
        <f t="shared" si="4"/>
        <v>3.3</v>
      </c>
      <c r="J21" s="1">
        <f t="shared" si="4"/>
        <v>4.3</v>
      </c>
      <c r="K21" s="1">
        <f t="shared" si="4"/>
        <v>4.8</v>
      </c>
      <c r="L21" s="1">
        <f t="shared" si="4"/>
        <v>4.7</v>
      </c>
      <c r="M21" s="1">
        <f t="shared" si="4"/>
        <v>3.1</v>
      </c>
      <c r="N21" s="1">
        <f t="shared" si="4"/>
        <v>3.7</v>
      </c>
      <c r="O21" s="1">
        <f t="shared" si="4"/>
        <v>5.3</v>
      </c>
      <c r="P21" s="5" t="s">
        <v>17</v>
      </c>
      <c r="Q21" s="1">
        <f>AVERAGE(Q8:Q17)</f>
        <v>52.3</v>
      </c>
      <c r="R21" s="1"/>
    </row>
    <row r="23" spans="3:18" ht="15" thickBot="1" x14ac:dyDescent="0.4"/>
    <row r="24" spans="3:18" ht="15" thickBot="1" x14ac:dyDescent="0.4">
      <c r="C24" s="196" t="s">
        <v>18</v>
      </c>
      <c r="D24" s="196"/>
      <c r="F24" s="202" t="s">
        <v>264</v>
      </c>
      <c r="G24" s="203"/>
      <c r="H24" s="204"/>
      <c r="J24" s="1" t="s">
        <v>64</v>
      </c>
      <c r="K24" s="1" t="s">
        <v>265</v>
      </c>
    </row>
    <row r="25" spans="3:18" x14ac:dyDescent="0.35">
      <c r="J25" s="1" t="str">
        <f t="shared" ref="J25:J34" si="5">C26</f>
        <v>Mike</v>
      </c>
      <c r="K25" s="1">
        <f t="shared" ref="K25:K34" si="6">ROUND(R8,2)</f>
        <v>2.75</v>
      </c>
    </row>
    <row r="26" spans="3:18" x14ac:dyDescent="0.35">
      <c r="C26" s="113" t="s">
        <v>19</v>
      </c>
      <c r="D26" t="str">
        <f t="shared" ref="D26:D35" si="7">IF(R8&gt;3,"PASS","FAIL")</f>
        <v>FAIL</v>
      </c>
      <c r="F26" s="199" t="str">
        <f t="shared" ref="F26:F35" si="8">CONCATENATE(C26,",",D26,",",R8)</f>
        <v>Mike,FAIL,2.75</v>
      </c>
      <c r="G26" s="200"/>
      <c r="H26" s="201"/>
      <c r="J26" s="1" t="str">
        <f t="shared" si="5"/>
        <v>Steve</v>
      </c>
      <c r="K26" s="1">
        <f t="shared" si="6"/>
        <v>6.08</v>
      </c>
    </row>
    <row r="27" spans="3:18" x14ac:dyDescent="0.35">
      <c r="C27" s="113" t="s">
        <v>20</v>
      </c>
      <c r="D27" t="str">
        <f t="shared" si="7"/>
        <v>PASS</v>
      </c>
      <c r="F27" s="199" t="str">
        <f t="shared" si="8"/>
        <v>Steve,PASS,6.08333333333333</v>
      </c>
      <c r="G27" s="200"/>
      <c r="H27" s="201"/>
      <c r="J27" s="1" t="str">
        <f t="shared" si="5"/>
        <v>Linda</v>
      </c>
      <c r="K27" s="1">
        <f t="shared" si="6"/>
        <v>5.58</v>
      </c>
    </row>
    <row r="28" spans="3:18" x14ac:dyDescent="0.35">
      <c r="C28" s="113" t="s">
        <v>21</v>
      </c>
      <c r="D28" t="str">
        <f t="shared" si="7"/>
        <v>PASS</v>
      </c>
      <c r="F28" s="199" t="str">
        <f t="shared" si="8"/>
        <v>Linda,PASS,5.58333333333333</v>
      </c>
      <c r="G28" s="200"/>
      <c r="H28" s="201"/>
      <c r="J28" s="1" t="str">
        <f t="shared" si="5"/>
        <v>Angela</v>
      </c>
      <c r="K28" s="1">
        <f t="shared" si="6"/>
        <v>5.58</v>
      </c>
    </row>
    <row r="29" spans="3:18" x14ac:dyDescent="0.35">
      <c r="C29" s="113" t="s">
        <v>22</v>
      </c>
      <c r="D29" t="str">
        <f t="shared" si="7"/>
        <v>PASS</v>
      </c>
      <c r="F29" s="199" t="str">
        <f t="shared" si="8"/>
        <v>Angela,PASS,5.58333333333333</v>
      </c>
      <c r="G29" s="200"/>
      <c r="H29" s="201"/>
      <c r="J29" s="1" t="str">
        <f t="shared" si="5"/>
        <v>Peter</v>
      </c>
      <c r="K29" s="1">
        <f t="shared" si="6"/>
        <v>5.83</v>
      </c>
    </row>
    <row r="30" spans="3:18" x14ac:dyDescent="0.35">
      <c r="C30" s="113" t="s">
        <v>23</v>
      </c>
      <c r="D30" t="str">
        <f t="shared" si="7"/>
        <v>PASS</v>
      </c>
      <c r="F30" s="199" t="str">
        <f t="shared" si="8"/>
        <v>Peter,PASS,5.83333333333333</v>
      </c>
      <c r="G30" s="200"/>
      <c r="H30" s="201"/>
      <c r="J30" s="1" t="str">
        <f t="shared" si="5"/>
        <v>Vikus</v>
      </c>
      <c r="K30" s="1">
        <f t="shared" si="6"/>
        <v>4.75</v>
      </c>
    </row>
    <row r="31" spans="3:18" x14ac:dyDescent="0.35">
      <c r="C31" s="113" t="s">
        <v>24</v>
      </c>
      <c r="D31" t="str">
        <f t="shared" si="7"/>
        <v>PASS</v>
      </c>
      <c r="F31" s="199" t="str">
        <f t="shared" si="8"/>
        <v>Vikus,PASS,4.75</v>
      </c>
      <c r="G31" s="200"/>
      <c r="H31" s="201"/>
      <c r="J31" s="1" t="str">
        <f t="shared" si="5"/>
        <v>Warrick</v>
      </c>
      <c r="K31" s="1">
        <f t="shared" si="6"/>
        <v>4.25</v>
      </c>
    </row>
    <row r="32" spans="3:18" x14ac:dyDescent="0.35">
      <c r="C32" s="113" t="s">
        <v>25</v>
      </c>
      <c r="D32" t="str">
        <f t="shared" si="7"/>
        <v>PASS</v>
      </c>
      <c r="F32" s="199" t="str">
        <f t="shared" si="8"/>
        <v>Warrick,PASS,4.25</v>
      </c>
      <c r="G32" s="200"/>
      <c r="H32" s="201"/>
      <c r="J32" s="1" t="str">
        <f t="shared" si="5"/>
        <v>Richard</v>
      </c>
      <c r="K32" s="1">
        <f t="shared" si="6"/>
        <v>2.58</v>
      </c>
    </row>
    <row r="33" spans="3:11" x14ac:dyDescent="0.35">
      <c r="C33" s="113" t="s">
        <v>26</v>
      </c>
      <c r="D33" t="str">
        <f t="shared" si="7"/>
        <v>FAIL</v>
      </c>
      <c r="F33" s="199" t="str">
        <f t="shared" si="8"/>
        <v>Richard,FAIL,2.58333333333333</v>
      </c>
      <c r="G33" s="200"/>
      <c r="H33" s="201"/>
      <c r="J33" s="1" t="str">
        <f t="shared" si="5"/>
        <v>Rachael</v>
      </c>
      <c r="K33" s="1">
        <f t="shared" si="6"/>
        <v>4.08</v>
      </c>
    </row>
    <row r="34" spans="3:11" x14ac:dyDescent="0.35">
      <c r="C34" s="113" t="s">
        <v>27</v>
      </c>
      <c r="D34" t="str">
        <f t="shared" si="7"/>
        <v>PASS</v>
      </c>
      <c r="F34" s="199" t="str">
        <f t="shared" si="8"/>
        <v>Rachael,PASS,4.08333333333333</v>
      </c>
      <c r="G34" s="200"/>
      <c r="H34" s="201"/>
      <c r="J34" s="1" t="str">
        <f t="shared" si="5"/>
        <v>Meline</v>
      </c>
      <c r="K34" s="1">
        <f t="shared" si="6"/>
        <v>2.08</v>
      </c>
    </row>
    <row r="35" spans="3:11" x14ac:dyDescent="0.35">
      <c r="C35" s="113" t="s">
        <v>28</v>
      </c>
      <c r="D35" t="str">
        <f t="shared" si="7"/>
        <v>FAIL</v>
      </c>
      <c r="F35" s="199" t="str">
        <f t="shared" si="8"/>
        <v>Meline,FAIL,2.08333333333333</v>
      </c>
      <c r="G35" s="200"/>
      <c r="H35" s="201"/>
    </row>
    <row r="37" spans="3:11" x14ac:dyDescent="0.35">
      <c r="C37" s="197"/>
      <c r="D37" s="197"/>
      <c r="E37" s="197"/>
      <c r="F37" s="197"/>
      <c r="G37" s="197"/>
      <c r="H37" s="197"/>
      <c r="I37" s="197"/>
      <c r="J37" s="197"/>
    </row>
    <row r="52" spans="3:15" x14ac:dyDescent="0.35">
      <c r="C52" s="197"/>
      <c r="D52" s="197"/>
      <c r="O52" s="112"/>
    </row>
  </sheetData>
  <mergeCells count="15">
    <mergeCell ref="C24:D24"/>
    <mergeCell ref="C52:D52"/>
    <mergeCell ref="C37:J37"/>
    <mergeCell ref="C4:R4"/>
    <mergeCell ref="F26:H26"/>
    <mergeCell ref="F27:H27"/>
    <mergeCell ref="F28:H28"/>
    <mergeCell ref="F29:H29"/>
    <mergeCell ref="F30:H30"/>
    <mergeCell ref="F31:H31"/>
    <mergeCell ref="F32:H32"/>
    <mergeCell ref="F33:H33"/>
    <mergeCell ref="F34:H34"/>
    <mergeCell ref="F24:H24"/>
    <mergeCell ref="F35:H35"/>
  </mergeCells>
  <conditionalFormatting sqref="D26:D35">
    <cfRule type="cellIs" dxfId="4" priority="1" operator="equal">
      <formula>"pass"</formula>
    </cfRule>
    <cfRule type="cellIs" dxfId="3" priority="2" operator="equal">
      <formula>"FAIL"</formula>
    </cfRule>
    <cfRule type="cellIs" dxfId="2" priority="3" operator="equal">
      <formula>"PASS"</formula>
    </cfRule>
  </conditionalFormatting>
  <pageMargins left="0.7" right="0.7" top="0.75" bottom="0.75" header="0.3" footer="0.3"/>
  <pageSetup paperSize="9" scale="55" fitToWidth="0" orientation="landscape" r:id="rId1"/>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54371-E6B4-4680-B45B-4E288BC4BF80}">
  <sheetPr>
    <tabColor rgb="FFFFFF00"/>
    <pageSetUpPr autoPageBreaks="0"/>
  </sheetPr>
  <dimension ref="A1:R36"/>
  <sheetViews>
    <sheetView tabSelected="1" topLeftCell="B1" zoomScale="50" zoomScaleNormal="50" workbookViewId="0">
      <selection activeCell="AA24" sqref="AA24"/>
    </sheetView>
  </sheetViews>
  <sheetFormatPr defaultColWidth="8.7265625" defaultRowHeight="14.5" x14ac:dyDescent="0.35"/>
  <cols>
    <col min="1" max="1" width="0" hidden="1" customWidth="1"/>
    <col min="3" max="3" width="11.81640625" customWidth="1"/>
    <col min="4" max="4" width="11.26953125" customWidth="1"/>
    <col min="5" max="6" width="10.1796875" customWidth="1"/>
    <col min="7" max="7" width="11.453125" customWidth="1"/>
    <col min="8" max="8" width="15.453125" customWidth="1"/>
    <col min="9" max="11" width="10.1796875" customWidth="1"/>
    <col min="12" max="12" width="11.81640625" customWidth="1"/>
    <col min="13" max="13" width="11.1796875" customWidth="1"/>
    <col min="14" max="15" width="11.453125" customWidth="1"/>
    <col min="16" max="16" width="11.1796875" customWidth="1"/>
    <col min="17" max="17" width="16.54296875" customWidth="1"/>
    <col min="18" max="18" width="16.453125" customWidth="1"/>
    <col min="19" max="19" width="15.26953125" bestFit="1" customWidth="1"/>
  </cols>
  <sheetData>
    <row r="1" spans="1:18" x14ac:dyDescent="0.35">
      <c r="A1" t="s">
        <v>295</v>
      </c>
    </row>
    <row r="2" spans="1:18" hidden="1" x14ac:dyDescent="0.35"/>
    <row r="3" spans="1:18" hidden="1" x14ac:dyDescent="0.35"/>
    <row r="4" spans="1:18" hidden="1" x14ac:dyDescent="0.35"/>
    <row r="5" spans="1:18" ht="33.5" x14ac:dyDescent="0.75">
      <c r="C5" s="193" t="s">
        <v>262</v>
      </c>
      <c r="D5" s="193"/>
      <c r="E5" s="193"/>
      <c r="F5" s="193"/>
      <c r="G5" s="193"/>
      <c r="H5" s="193"/>
      <c r="I5" s="193"/>
      <c r="J5" s="193"/>
      <c r="K5" s="193"/>
      <c r="L5" s="193"/>
      <c r="M5" s="193"/>
      <c r="N5" s="193"/>
      <c r="O5" s="193"/>
      <c r="P5" s="193"/>
      <c r="Q5" s="193"/>
      <c r="R5" s="193"/>
    </row>
    <row r="7" spans="1:18" ht="15.5" x14ac:dyDescent="0.35">
      <c r="C7" s="6" t="s">
        <v>49</v>
      </c>
      <c r="D7" s="6" t="s">
        <v>11</v>
      </c>
      <c r="E7" s="6" t="s">
        <v>12</v>
      </c>
      <c r="F7" s="6" t="s">
        <v>13</v>
      </c>
      <c r="G7" s="6" t="s">
        <v>2</v>
      </c>
      <c r="H7" s="6" t="s">
        <v>3</v>
      </c>
      <c r="I7" s="6" t="s">
        <v>4</v>
      </c>
      <c r="J7" s="6" t="s">
        <v>5</v>
      </c>
      <c r="K7" s="6" t="s">
        <v>6</v>
      </c>
      <c r="L7" s="6" t="s">
        <v>7</v>
      </c>
      <c r="M7" s="6" t="s">
        <v>8</v>
      </c>
      <c r="N7" s="6" t="s">
        <v>9</v>
      </c>
      <c r="O7" s="6" t="s">
        <v>10</v>
      </c>
      <c r="P7" s="6" t="s">
        <v>48</v>
      </c>
      <c r="Q7" s="6" t="s">
        <v>47</v>
      </c>
      <c r="R7" s="6" t="s">
        <v>46</v>
      </c>
    </row>
    <row r="8" spans="1:18" x14ac:dyDescent="0.35">
      <c r="C8" s="5" t="s">
        <v>19</v>
      </c>
      <c r="D8" s="1">
        <v>3</v>
      </c>
      <c r="E8" s="1">
        <v>3</v>
      </c>
      <c r="F8" s="1">
        <v>3</v>
      </c>
      <c r="G8" s="1">
        <v>1</v>
      </c>
      <c r="H8" s="1">
        <v>4</v>
      </c>
      <c r="I8" s="1">
        <v>5</v>
      </c>
      <c r="J8" s="1">
        <v>2</v>
      </c>
      <c r="K8" s="1">
        <v>2</v>
      </c>
      <c r="L8" s="1">
        <v>5</v>
      </c>
      <c r="M8" s="1">
        <v>2</v>
      </c>
      <c r="N8" s="1">
        <v>1</v>
      </c>
      <c r="O8" s="1">
        <v>2</v>
      </c>
      <c r="Q8" s="5">
        <f t="shared" ref="Q8:Q17" si="0">SUM(D8:O8)</f>
        <v>33</v>
      </c>
      <c r="R8" s="5">
        <f>AVERAGE(D8:O8)</f>
        <v>2.75</v>
      </c>
    </row>
    <row r="9" spans="1:18" x14ac:dyDescent="0.35">
      <c r="C9" s="5" t="s">
        <v>20</v>
      </c>
      <c r="D9" s="1">
        <v>1</v>
      </c>
      <c r="E9" s="1">
        <v>7</v>
      </c>
      <c r="F9" s="1">
        <v>6</v>
      </c>
      <c r="G9" s="1">
        <v>15</v>
      </c>
      <c r="H9" s="1">
        <v>0</v>
      </c>
      <c r="I9" s="1">
        <v>7</v>
      </c>
      <c r="J9" s="1">
        <v>5</v>
      </c>
      <c r="K9" s="1">
        <v>7</v>
      </c>
      <c r="L9" s="1">
        <v>2</v>
      </c>
      <c r="M9" s="1">
        <v>6</v>
      </c>
      <c r="N9" s="1">
        <v>1</v>
      </c>
      <c r="O9" s="1">
        <v>16</v>
      </c>
      <c r="Q9" s="5">
        <f t="shared" si="0"/>
        <v>73</v>
      </c>
      <c r="R9" s="5">
        <f t="shared" ref="R9:R17" si="1">AVERAGE(D9:O9)</f>
        <v>6.083333333333333</v>
      </c>
    </row>
    <row r="10" spans="1:18" x14ac:dyDescent="0.35">
      <c r="C10" s="5" t="s">
        <v>21</v>
      </c>
      <c r="D10" s="1">
        <v>6</v>
      </c>
      <c r="E10" s="1">
        <v>9</v>
      </c>
      <c r="F10" s="1">
        <v>1</v>
      </c>
      <c r="G10" s="1">
        <v>7</v>
      </c>
      <c r="H10" s="1">
        <v>0</v>
      </c>
      <c r="I10" s="1">
        <v>1</v>
      </c>
      <c r="J10" s="1">
        <v>11</v>
      </c>
      <c r="K10" s="1">
        <v>8</v>
      </c>
      <c r="L10" s="1">
        <v>8</v>
      </c>
      <c r="M10" s="1">
        <v>5</v>
      </c>
      <c r="N10" s="1">
        <v>6</v>
      </c>
      <c r="O10" s="1">
        <v>5</v>
      </c>
      <c r="Q10" s="5">
        <f t="shared" si="0"/>
        <v>67</v>
      </c>
      <c r="R10" s="5">
        <f t="shared" si="1"/>
        <v>5.583333333333333</v>
      </c>
    </row>
    <row r="11" spans="1:18" x14ac:dyDescent="0.35">
      <c r="C11" s="5" t="s">
        <v>22</v>
      </c>
      <c r="D11" s="1">
        <v>2</v>
      </c>
      <c r="E11" s="1">
        <v>3</v>
      </c>
      <c r="F11" s="1">
        <v>6</v>
      </c>
      <c r="G11" s="1">
        <v>14</v>
      </c>
      <c r="H11" s="1">
        <v>6</v>
      </c>
      <c r="I11" s="1">
        <v>7</v>
      </c>
      <c r="J11" s="1">
        <v>9</v>
      </c>
      <c r="K11" s="1">
        <v>7</v>
      </c>
      <c r="L11" s="1">
        <v>4</v>
      </c>
      <c r="M11" s="1">
        <v>1</v>
      </c>
      <c r="N11" s="1">
        <v>3</v>
      </c>
      <c r="O11" s="1">
        <v>5</v>
      </c>
      <c r="Q11" s="5">
        <f t="shared" si="0"/>
        <v>67</v>
      </c>
      <c r="R11" s="5">
        <f t="shared" si="1"/>
        <v>5.583333333333333</v>
      </c>
    </row>
    <row r="12" spans="1:18" x14ac:dyDescent="0.35">
      <c r="C12" s="5" t="s">
        <v>23</v>
      </c>
      <c r="D12" s="1">
        <v>8</v>
      </c>
      <c r="E12" s="1">
        <v>6</v>
      </c>
      <c r="F12" s="1">
        <v>8</v>
      </c>
      <c r="G12" s="1">
        <v>7</v>
      </c>
      <c r="H12" s="1">
        <v>7</v>
      </c>
      <c r="I12" s="1">
        <v>3</v>
      </c>
      <c r="J12" s="1">
        <v>4</v>
      </c>
      <c r="K12" s="1">
        <v>8</v>
      </c>
      <c r="L12" s="1">
        <v>2</v>
      </c>
      <c r="M12" s="1">
        <v>7</v>
      </c>
      <c r="N12" s="1">
        <v>8</v>
      </c>
      <c r="O12" s="1">
        <v>2</v>
      </c>
      <c r="Q12" s="5">
        <f t="shared" si="0"/>
        <v>70</v>
      </c>
      <c r="R12" s="5">
        <f t="shared" si="1"/>
        <v>5.833333333333333</v>
      </c>
    </row>
    <row r="13" spans="1:18" x14ac:dyDescent="0.35">
      <c r="C13" s="5" t="s">
        <v>24</v>
      </c>
      <c r="D13" s="1">
        <v>2</v>
      </c>
      <c r="E13" s="1">
        <v>11</v>
      </c>
      <c r="F13" s="1">
        <v>3</v>
      </c>
      <c r="G13" s="1">
        <v>4</v>
      </c>
      <c r="H13" s="1">
        <v>3</v>
      </c>
      <c r="I13" s="1">
        <v>6</v>
      </c>
      <c r="J13" s="1">
        <v>6</v>
      </c>
      <c r="K13" s="1">
        <v>1</v>
      </c>
      <c r="L13" s="1">
        <v>7</v>
      </c>
      <c r="M13" s="1">
        <v>4</v>
      </c>
      <c r="N13" s="1">
        <v>4</v>
      </c>
      <c r="O13" s="1">
        <v>6</v>
      </c>
      <c r="Q13" s="5">
        <f t="shared" si="0"/>
        <v>57</v>
      </c>
      <c r="R13" s="5">
        <f t="shared" si="1"/>
        <v>4.75</v>
      </c>
    </row>
    <row r="14" spans="1:18" x14ac:dyDescent="0.35">
      <c r="C14" s="5" t="s">
        <v>25</v>
      </c>
      <c r="D14" s="1">
        <v>7</v>
      </c>
      <c r="E14" s="1">
        <v>5</v>
      </c>
      <c r="F14" s="1">
        <v>0</v>
      </c>
      <c r="G14" s="1">
        <v>9</v>
      </c>
      <c r="H14" s="1">
        <v>5</v>
      </c>
      <c r="I14" s="1">
        <v>0</v>
      </c>
      <c r="J14" s="1">
        <v>3</v>
      </c>
      <c r="K14" s="1">
        <v>5</v>
      </c>
      <c r="L14" s="1">
        <v>9</v>
      </c>
      <c r="M14" s="1">
        <v>2</v>
      </c>
      <c r="N14" s="1">
        <v>2</v>
      </c>
      <c r="O14" s="1">
        <v>4</v>
      </c>
      <c r="Q14" s="5">
        <f t="shared" si="0"/>
        <v>51</v>
      </c>
      <c r="R14" s="5">
        <f t="shared" si="1"/>
        <v>4.25</v>
      </c>
    </row>
    <row r="15" spans="1:18" x14ac:dyDescent="0.35">
      <c r="C15" s="5" t="s">
        <v>26</v>
      </c>
      <c r="D15" s="1">
        <v>0</v>
      </c>
      <c r="E15" s="1">
        <v>8</v>
      </c>
      <c r="F15" s="1">
        <v>2</v>
      </c>
      <c r="G15" s="1">
        <v>4</v>
      </c>
      <c r="H15" s="1">
        <v>0</v>
      </c>
      <c r="I15" s="1">
        <v>0</v>
      </c>
      <c r="J15" s="1">
        <v>2</v>
      </c>
      <c r="K15" s="1">
        <v>2</v>
      </c>
      <c r="L15" s="1">
        <v>0</v>
      </c>
      <c r="M15" s="1">
        <v>1</v>
      </c>
      <c r="N15" s="1">
        <v>6</v>
      </c>
      <c r="O15" s="1">
        <v>6</v>
      </c>
      <c r="Q15" s="5">
        <f t="shared" si="0"/>
        <v>31</v>
      </c>
      <c r="R15" s="5">
        <f t="shared" si="1"/>
        <v>2.5833333333333335</v>
      </c>
    </row>
    <row r="16" spans="1:18" x14ac:dyDescent="0.35">
      <c r="C16" s="5" t="s">
        <v>27</v>
      </c>
      <c r="D16" s="1">
        <v>7</v>
      </c>
      <c r="E16" s="1">
        <v>6</v>
      </c>
      <c r="F16" s="1">
        <v>7</v>
      </c>
      <c r="G16" s="1">
        <v>1</v>
      </c>
      <c r="H16" s="1">
        <v>2</v>
      </c>
      <c r="I16" s="1">
        <v>1</v>
      </c>
      <c r="J16" s="1">
        <v>1</v>
      </c>
      <c r="K16" s="1">
        <v>6</v>
      </c>
      <c r="L16" s="1">
        <v>7</v>
      </c>
      <c r="M16" s="1">
        <v>0</v>
      </c>
      <c r="N16" s="1">
        <v>4</v>
      </c>
      <c r="O16" s="1">
        <v>7</v>
      </c>
      <c r="Q16" s="5">
        <f t="shared" si="0"/>
        <v>49</v>
      </c>
      <c r="R16" s="5">
        <f t="shared" si="1"/>
        <v>4.083333333333333</v>
      </c>
    </row>
    <row r="17" spans="3:18" x14ac:dyDescent="0.35">
      <c r="C17" s="5" t="s">
        <v>28</v>
      </c>
      <c r="D17" s="1">
        <v>2</v>
      </c>
      <c r="E17" s="1">
        <v>3</v>
      </c>
      <c r="F17" s="1">
        <v>0</v>
      </c>
      <c r="G17" s="1">
        <v>2</v>
      </c>
      <c r="H17" s="1">
        <v>5</v>
      </c>
      <c r="I17" s="1">
        <v>3</v>
      </c>
      <c r="J17" s="1">
        <v>0</v>
      </c>
      <c r="K17" s="1">
        <v>2</v>
      </c>
      <c r="L17" s="1">
        <v>3</v>
      </c>
      <c r="M17" s="1">
        <v>3</v>
      </c>
      <c r="N17" s="1">
        <v>2</v>
      </c>
      <c r="O17" s="1">
        <v>0</v>
      </c>
      <c r="Q17" s="5">
        <f t="shared" si="0"/>
        <v>25</v>
      </c>
      <c r="R17" s="5">
        <f t="shared" si="1"/>
        <v>2.0833333333333335</v>
      </c>
    </row>
    <row r="18" spans="3:18" x14ac:dyDescent="0.35">
      <c r="C18" s="5"/>
      <c r="P18" s="3" t="s">
        <v>15</v>
      </c>
      <c r="Q18" s="5">
        <f>SUM(Q8:Q17)</f>
        <v>523</v>
      </c>
      <c r="R18" s="5"/>
    </row>
    <row r="19" spans="3:18" x14ac:dyDescent="0.35">
      <c r="C19" s="5" t="s">
        <v>0</v>
      </c>
      <c r="D19" s="5">
        <f>MAX(D8:D17)</f>
        <v>8</v>
      </c>
      <c r="E19" s="5">
        <f t="shared" ref="E19:O19" si="2">MAX(E8:E17)</f>
        <v>11</v>
      </c>
      <c r="F19" s="5">
        <f t="shared" si="2"/>
        <v>8</v>
      </c>
      <c r="G19" s="5">
        <f t="shared" si="2"/>
        <v>15</v>
      </c>
      <c r="H19" s="5">
        <f t="shared" si="2"/>
        <v>7</v>
      </c>
      <c r="I19" s="5">
        <f t="shared" si="2"/>
        <v>7</v>
      </c>
      <c r="J19" s="5">
        <f t="shared" si="2"/>
        <v>11</v>
      </c>
      <c r="K19" s="5">
        <f t="shared" si="2"/>
        <v>8</v>
      </c>
      <c r="L19" s="5">
        <f t="shared" si="2"/>
        <v>9</v>
      </c>
      <c r="M19" s="5">
        <f t="shared" si="2"/>
        <v>7</v>
      </c>
      <c r="N19" s="5">
        <f t="shared" si="2"/>
        <v>8</v>
      </c>
      <c r="O19" s="5">
        <f t="shared" si="2"/>
        <v>16</v>
      </c>
      <c r="P19" s="3" t="s">
        <v>0</v>
      </c>
      <c r="Q19" s="5">
        <f>MAX(Q8:Q17)</f>
        <v>73</v>
      </c>
      <c r="R19" s="5"/>
    </row>
    <row r="20" spans="3:18" x14ac:dyDescent="0.35">
      <c r="C20" s="5" t="s">
        <v>1</v>
      </c>
      <c r="D20" s="5">
        <f>MIN(D8:D17)</f>
        <v>0</v>
      </c>
      <c r="E20" s="5">
        <f t="shared" ref="E20:O20" si="3">MIN(E8:E17)</f>
        <v>3</v>
      </c>
      <c r="F20" s="5">
        <f t="shared" si="3"/>
        <v>0</v>
      </c>
      <c r="G20" s="5">
        <f t="shared" si="3"/>
        <v>1</v>
      </c>
      <c r="H20" s="5">
        <f t="shared" si="3"/>
        <v>0</v>
      </c>
      <c r="I20" s="5">
        <f t="shared" si="3"/>
        <v>0</v>
      </c>
      <c r="J20" s="5">
        <f t="shared" si="3"/>
        <v>0</v>
      </c>
      <c r="K20" s="5">
        <f t="shared" si="3"/>
        <v>1</v>
      </c>
      <c r="L20" s="5">
        <f t="shared" si="3"/>
        <v>0</v>
      </c>
      <c r="M20" s="5">
        <f t="shared" si="3"/>
        <v>0</v>
      </c>
      <c r="N20" s="5">
        <f t="shared" si="3"/>
        <v>1</v>
      </c>
      <c r="O20" s="5">
        <f t="shared" si="3"/>
        <v>0</v>
      </c>
      <c r="P20" s="3" t="s">
        <v>1</v>
      </c>
      <c r="Q20" s="5">
        <f>MIN(Q8:Q17)</f>
        <v>25</v>
      </c>
      <c r="R20" s="5"/>
    </row>
    <row r="21" spans="3:18" x14ac:dyDescent="0.35">
      <c r="C21" s="5" t="s">
        <v>14</v>
      </c>
      <c r="D21" s="5">
        <f>AVERAGE(D8:D17)</f>
        <v>3.8</v>
      </c>
      <c r="E21" s="5">
        <f t="shared" ref="E21:O21" si="4">AVERAGE(E8:E17)</f>
        <v>6.1</v>
      </c>
      <c r="F21" s="5">
        <f t="shared" si="4"/>
        <v>3.6</v>
      </c>
      <c r="G21" s="5">
        <f t="shared" si="4"/>
        <v>6.4</v>
      </c>
      <c r="H21" s="5">
        <f t="shared" si="4"/>
        <v>3.2</v>
      </c>
      <c r="I21" s="5">
        <f t="shared" si="4"/>
        <v>3.3</v>
      </c>
      <c r="J21" s="5">
        <f t="shared" si="4"/>
        <v>4.3</v>
      </c>
      <c r="K21" s="5">
        <f t="shared" si="4"/>
        <v>4.8</v>
      </c>
      <c r="L21" s="5">
        <f t="shared" si="4"/>
        <v>4.7</v>
      </c>
      <c r="M21" s="5">
        <f t="shared" si="4"/>
        <v>3.1</v>
      </c>
      <c r="N21" s="5">
        <f t="shared" si="4"/>
        <v>3.7</v>
      </c>
      <c r="O21" s="5">
        <f t="shared" si="4"/>
        <v>5.3</v>
      </c>
      <c r="P21" s="3" t="s">
        <v>17</v>
      </c>
      <c r="Q21" s="5">
        <f>AVERAGE(Q8:Q17)</f>
        <v>52.3</v>
      </c>
      <c r="R21" s="5"/>
    </row>
    <row r="22" spans="3:18" x14ac:dyDescent="0.35">
      <c r="D22" s="1"/>
      <c r="E22" s="1"/>
      <c r="F22" s="1"/>
      <c r="G22" s="1"/>
      <c r="H22" s="1"/>
      <c r="I22" s="1"/>
      <c r="J22" s="1"/>
      <c r="K22" s="1"/>
      <c r="L22" s="1"/>
      <c r="M22" s="1"/>
      <c r="N22" s="1"/>
      <c r="O22" s="1"/>
    </row>
    <row r="25" spans="3:18" ht="15.5" x14ac:dyDescent="0.35">
      <c r="C25" s="191" t="s">
        <v>18</v>
      </c>
      <c r="D25" s="192"/>
      <c r="F25" s="191" t="s">
        <v>263</v>
      </c>
      <c r="G25" s="194"/>
      <c r="H25" s="194"/>
      <c r="J25" s="5" t="s">
        <v>266</v>
      </c>
      <c r="K25" s="5" t="s">
        <v>265</v>
      </c>
    </row>
    <row r="26" spans="3:18" x14ac:dyDescent="0.35">
      <c r="J26" s="5" t="s">
        <v>19</v>
      </c>
      <c r="K26" s="35">
        <f t="shared" ref="K26:K35" si="5">R8</f>
        <v>2.75</v>
      </c>
    </row>
    <row r="27" spans="3:18" x14ac:dyDescent="0.35">
      <c r="C27" s="5" t="s">
        <v>19</v>
      </c>
      <c r="D27" s="1" t="str">
        <f t="shared" ref="D27:D36" si="6">IF(R8&lt;3,"FAIL","PASS")</f>
        <v>FAIL</v>
      </c>
      <c r="F27" s="40" t="str">
        <f t="shared" ref="F27:F36" si="7">CONCATENATE(C27,",",D27,",",R8)</f>
        <v>Mike,FAIL,2.75</v>
      </c>
      <c r="G27" s="41"/>
      <c r="H27" s="42"/>
      <c r="J27" s="5" t="s">
        <v>20</v>
      </c>
      <c r="K27" s="35">
        <f t="shared" si="5"/>
        <v>6.083333333333333</v>
      </c>
    </row>
    <row r="28" spans="3:18" x14ac:dyDescent="0.35">
      <c r="C28" s="5" t="s">
        <v>20</v>
      </c>
      <c r="D28" s="1" t="str">
        <f t="shared" si="6"/>
        <v>PASS</v>
      </c>
      <c r="F28" s="40" t="str">
        <f t="shared" si="7"/>
        <v>Steve,PASS,6.08333333333333</v>
      </c>
      <c r="G28" s="41"/>
      <c r="H28" s="42"/>
      <c r="J28" s="5" t="s">
        <v>21</v>
      </c>
      <c r="K28" s="35">
        <f t="shared" si="5"/>
        <v>5.583333333333333</v>
      </c>
    </row>
    <row r="29" spans="3:18" x14ac:dyDescent="0.35">
      <c r="C29" s="5" t="s">
        <v>21</v>
      </c>
      <c r="D29" s="1" t="str">
        <f t="shared" si="6"/>
        <v>PASS</v>
      </c>
      <c r="F29" s="40" t="str">
        <f t="shared" si="7"/>
        <v>Linda,PASS,5.58333333333333</v>
      </c>
      <c r="G29" s="41"/>
      <c r="H29" s="42"/>
      <c r="J29" s="5" t="s">
        <v>22</v>
      </c>
      <c r="K29" s="35">
        <f t="shared" si="5"/>
        <v>5.583333333333333</v>
      </c>
    </row>
    <row r="30" spans="3:18" x14ac:dyDescent="0.35">
      <c r="C30" s="5" t="s">
        <v>22</v>
      </c>
      <c r="D30" s="1" t="str">
        <f t="shared" si="6"/>
        <v>PASS</v>
      </c>
      <c r="F30" s="40" t="str">
        <f t="shared" si="7"/>
        <v>Angela,PASS,5.58333333333333</v>
      </c>
      <c r="G30" s="41"/>
      <c r="H30" s="42"/>
      <c r="J30" s="5" t="s">
        <v>23</v>
      </c>
      <c r="K30" s="35">
        <f t="shared" si="5"/>
        <v>5.833333333333333</v>
      </c>
    </row>
    <row r="31" spans="3:18" x14ac:dyDescent="0.35">
      <c r="C31" s="5" t="s">
        <v>23</v>
      </c>
      <c r="D31" s="1" t="str">
        <f t="shared" si="6"/>
        <v>PASS</v>
      </c>
      <c r="F31" s="40" t="str">
        <f t="shared" si="7"/>
        <v>Peter,PASS,5.83333333333333</v>
      </c>
      <c r="G31" s="41"/>
      <c r="H31" s="42"/>
      <c r="J31" s="5" t="s">
        <v>24</v>
      </c>
      <c r="K31" s="35">
        <f t="shared" si="5"/>
        <v>4.75</v>
      </c>
    </row>
    <row r="32" spans="3:18" x14ac:dyDescent="0.35">
      <c r="C32" s="5" t="s">
        <v>24</v>
      </c>
      <c r="D32" s="1" t="str">
        <f t="shared" si="6"/>
        <v>PASS</v>
      </c>
      <c r="F32" s="40" t="str">
        <f t="shared" si="7"/>
        <v>Vikus,PASS,4.75</v>
      </c>
      <c r="G32" s="41"/>
      <c r="H32" s="42"/>
      <c r="J32" s="5" t="s">
        <v>25</v>
      </c>
      <c r="K32" s="35">
        <f t="shared" si="5"/>
        <v>4.25</v>
      </c>
    </row>
    <row r="33" spans="3:11" x14ac:dyDescent="0.35">
      <c r="C33" s="5" t="s">
        <v>25</v>
      </c>
      <c r="D33" s="1" t="str">
        <f t="shared" si="6"/>
        <v>PASS</v>
      </c>
      <c r="F33" s="40" t="str">
        <f t="shared" si="7"/>
        <v>Warrick,PASS,4.25</v>
      </c>
      <c r="G33" s="41"/>
      <c r="H33" s="42"/>
      <c r="J33" s="5" t="s">
        <v>26</v>
      </c>
      <c r="K33" s="35">
        <f t="shared" si="5"/>
        <v>2.5833333333333335</v>
      </c>
    </row>
    <row r="34" spans="3:11" x14ac:dyDescent="0.35">
      <c r="C34" s="5" t="s">
        <v>26</v>
      </c>
      <c r="D34" s="1" t="str">
        <f t="shared" si="6"/>
        <v>FAIL</v>
      </c>
      <c r="F34" s="40" t="str">
        <f t="shared" si="7"/>
        <v>Richard,FAIL,2.58333333333333</v>
      </c>
      <c r="G34" s="41"/>
      <c r="H34" s="42"/>
      <c r="J34" s="5" t="s">
        <v>27</v>
      </c>
      <c r="K34" s="35">
        <f t="shared" si="5"/>
        <v>4.083333333333333</v>
      </c>
    </row>
    <row r="35" spans="3:11" x14ac:dyDescent="0.35">
      <c r="C35" s="5" t="s">
        <v>27</v>
      </c>
      <c r="D35" s="1" t="str">
        <f t="shared" si="6"/>
        <v>PASS</v>
      </c>
      <c r="F35" s="40" t="str">
        <f t="shared" si="7"/>
        <v>Rachael,PASS,4.08333333333333</v>
      </c>
      <c r="G35" s="41"/>
      <c r="H35" s="42"/>
      <c r="J35" s="5" t="s">
        <v>28</v>
      </c>
      <c r="K35" s="35">
        <f t="shared" si="5"/>
        <v>2.0833333333333335</v>
      </c>
    </row>
    <row r="36" spans="3:11" x14ac:dyDescent="0.35">
      <c r="C36" s="5" t="s">
        <v>28</v>
      </c>
      <c r="D36" s="1" t="str">
        <f t="shared" si="6"/>
        <v>FAIL</v>
      </c>
      <c r="F36" s="40" t="str">
        <f t="shared" si="7"/>
        <v>Meline,FAIL,2.08333333333333</v>
      </c>
      <c r="G36" s="41"/>
      <c r="H36" s="42"/>
    </row>
  </sheetData>
  <mergeCells count="3">
    <mergeCell ref="C5:R5"/>
    <mergeCell ref="C25:D25"/>
    <mergeCell ref="F25:H25"/>
  </mergeCells>
  <conditionalFormatting sqref="D27:D36">
    <cfRule type="cellIs" dxfId="1" priority="1" operator="equal">
      <formula>"FAIL"</formula>
    </cfRule>
    <cfRule type="cellIs" dxfId="0" priority="2" operator="equal">
      <formula>"PASS"</formula>
    </cfRule>
  </conditionalFormatting>
  <pageMargins left="0.7" right="0.7" top="0.75" bottom="0.75" header="0.3" footer="0.3"/>
  <pageSetup orientation="landscape" horizontalDpi="4294967293" verticalDpi="0" r:id="rId1"/>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BAA393DB-BB25-41DA-A86C-7CD9F46FE4E6}">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5BA9166E-E088-4081-BF3B-048C0B3F9F39}">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526A3BFA-7E5D-409B-AB07-857656D87E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Navigation</vt:lpstr>
      <vt:lpstr>References</vt:lpstr>
      <vt:lpstr>IF Function</vt:lpstr>
      <vt:lpstr>F &amp; F 1</vt:lpstr>
      <vt:lpstr>F &amp; F 2</vt:lpstr>
      <vt:lpstr>F &amp; F Exercise</vt:lpstr>
      <vt:lpstr>F &amp; F Exercise Solution</vt:lpstr>
      <vt:lpstr>Monthly Income</vt:lpstr>
      <vt:lpstr>eBay Profit Loss</vt:lpstr>
      <vt:lpstr>IfAndOr</vt:lpstr>
      <vt:lpstr>Concatenate</vt:lpstr>
      <vt:lpstr>Nav Pane</vt:lpstr>
      <vt:lpstr>Vlookup</vt:lpstr>
      <vt:lpstr>Subtotalling</vt:lpstr>
      <vt:lpstr>Backup</vt:lpstr>
      <vt:lpstr>Goals Example</vt:lpstr>
      <vt:lpstr>Goals exercise</vt:lpstr>
      <vt:lpstr>Goals Printing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Warrick K</dc:creator>
  <cp:lastModifiedBy>Manikandan J</cp:lastModifiedBy>
  <cp:lastPrinted>2025-12-24T09:39:41Z</cp:lastPrinted>
  <dcterms:created xsi:type="dcterms:W3CDTF">2017-01-22T14:27:11Z</dcterms:created>
  <dcterms:modified xsi:type="dcterms:W3CDTF">2025-12-24T16:14:07Z</dcterms:modified>
</cp:coreProperties>
</file>